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" sheetId="1" state="visible" r:id="rId1"/>
    <sheet name="Fáciles" sheetId="2" state="visible" r:id="rId2"/>
    <sheet name="Resumen" sheetId="3" state="visible" r:id="rId3"/>
    <sheet name="Cómo usar" sheetId="4" state="visible" r:id="rId4"/>
  </sheets>
  <definedNames>
    <definedName name="_xlnm._FilterDatabase" localSheetId="0" hidden="1">'Prospectos'!$A$1:$P$63</definedName>
    <definedName name="_xlnm._FilterDatabase" localSheetId="1" hidden="1">'Fáciles'!$A$1:$P$61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b val="1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7A5C0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ThryveX</author>
  </authors>
  <commentList>
    <comment ref="C1" authorId="0" shapeId="0">
      <text>
        <t>A = negocio fuerte + web débil: hacer mockup y escribir. B = negocio fuerte, web aceptable: vender automatización / IA, no rediseño. C = secundario, verificar antes.</t>
      </text>
    </comment>
    <comment ref="I1" authorId="0" shapeId="0">
      <text>
        <t>Señales inferidas de URLs indexadas y títulos en Google. Confirmar con una visita de 30 segundos antes de escribir: año del footer, versión móvil, SSL, idiomas.</t>
      </text>
    </comment>
  </commentList>
</comments>
</file>

<file path=xl/comments/comment2.xml><?xml version="1.0" encoding="utf-8"?>
<comments xmlns="http://schemas.openxmlformats.org/spreadsheetml/2006/main">
  <authors>
    <author>ThryveX</author>
  </authors>
  <commentList>
    <comment ref="C1" authorId="0" shapeId="0">
      <text>
        <t>1 = un solo dueño, WhatsApp público, ya pagan por leads y el dolor es visible: escribir esta semana. 2 = igual de bueno pero falta un dato (dueño o número) o el ticket es menor. 3 = contactar después de tener dos casos.</t>
      </text>
    </comment>
    <comment ref="G1" authorId="0" shapeId="0">
      <text>
        <t>Números tomados de bios de Instagram, encuentra24, Facebook y webs. Verificar en el perfil antes del primer mensaje.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lvallepanama.com" TargetMode="External" Id="rId1" /><Relationship Type="http://schemas.openxmlformats.org/officeDocument/2006/relationships/hyperlink" Target="https://www.chenleeyasociados.com" TargetMode="External" Id="rId2" /><Relationship Type="http://schemas.openxmlformats.org/officeDocument/2006/relationships/hyperlink" Target="https://www.matapitti.com" TargetMode="External" Id="rId3" /><Relationship Type="http://schemas.openxmlformats.org/officeDocument/2006/relationships/hyperlink" Target="https://www.ptylawyers.com" TargetMode="External" Id="rId4" /><Relationship Type="http://schemas.openxmlformats.org/officeDocument/2006/relationships/hyperlink" Target="https://kovalenkovera.com" TargetMode="External" Id="rId5" /><Relationship Type="http://schemas.openxmlformats.org/officeDocument/2006/relationships/hyperlink" Target="https://www.relofirm.com" TargetMode="External" Id="rId6" /><Relationship Type="http://schemas.openxmlformats.org/officeDocument/2006/relationships/hyperlink" Target="https://www.ndm.com.pa" TargetMode="External" Id="rId7" /><Relationship Type="http://schemas.openxmlformats.org/officeDocument/2006/relationships/hyperlink" Target="https://jquijano.com" TargetMode="External" Id="rId8" /><Relationship Type="http://schemas.openxmlformats.org/officeDocument/2006/relationships/hyperlink" Target="https://www.panamags.com/en/" TargetMode="External" Id="rId9" /><Relationship Type="http://schemas.openxmlformats.org/officeDocument/2006/relationships/hyperlink" Target="https://kraemerlaw.com/en/home/" TargetMode="External" Id="rId10" /><Relationship Type="http://schemas.openxmlformats.org/officeDocument/2006/relationships/hyperlink" Target="https://www.casasolution.com/" TargetMode="External" Id="rId11" /><Relationship Type="http://schemas.openxmlformats.org/officeDocument/2006/relationships/hyperlink" Target="https://valordevelopment.com.pa/en/home-english-valor/" TargetMode="External" Id="rId12" /><Relationship Type="http://schemas.openxmlformats.org/officeDocument/2006/relationships/hyperlink" Target="https://www.puntapacificarealty.com/" TargetMode="External" Id="rId13" /><Relationship Type="http://schemas.openxmlformats.org/officeDocument/2006/relationships/hyperlink" Target="https://metrorealtypanama.com/" TargetMode="External" Id="rId14" /><Relationship Type="http://schemas.openxmlformats.org/officeDocument/2006/relationships/hyperlink" Target="https://www.panamaequity.com/" TargetMode="External" Id="rId15" /><Relationship Type="http://schemas.openxmlformats.org/officeDocument/2006/relationships/hyperlink" Target="https://www.panama-properties.com/" TargetMode="External" Id="rId16" /><Relationship Type="http://schemas.openxmlformats.org/officeDocument/2006/relationships/hyperlink" Target="https://www.islandrealtypanama.com/" TargetMode="External" Id="rId17" /><Relationship Type="http://schemas.openxmlformats.org/officeDocument/2006/relationships/hyperlink" Target="https://grupotribaldos.com/en/" TargetMode="External" Id="rId18" /><Relationship Type="http://schemas.openxmlformats.org/officeDocument/2006/relationships/hyperlink" Target="https://panamahomerealty.com/" TargetMode="External" Id="rId19" /><Relationship Type="http://schemas.openxmlformats.org/officeDocument/2006/relationships/hyperlink" Target="https://drjoseespino.com/" TargetMode="External" Id="rId20" /><Relationship Type="http://schemas.openxmlformats.org/officeDocument/2006/relationships/hyperlink" Target="https://cirugiaesteticapanama.com/" TargetMode="External" Id="rId21" /><Relationship Type="http://schemas.openxmlformats.org/officeDocument/2006/relationships/hyperlink" Target="https://dredgardosaavedra.com/" TargetMode="External" Id="rId22" /><Relationship Type="http://schemas.openxmlformats.org/officeDocument/2006/relationships/hyperlink" Target="https://gmedsport.com.pa/" TargetMode="External" Id="rId23" /><Relationship Type="http://schemas.openxmlformats.org/officeDocument/2006/relationships/hyperlink" Target="https://centrofecundarpanama.com/" TargetMode="External" Id="rId24" /><Relationship Type="http://schemas.openxmlformats.org/officeDocument/2006/relationships/hyperlink" Target="https://odontoestetica.com.pa/" TargetMode="External" Id="rId25" /><Relationship Type="http://schemas.openxmlformats.org/officeDocument/2006/relationships/hyperlink" Target="https://clinicadentalibarra.com/" TargetMode="External" Id="rId26" /><Relationship Type="http://schemas.openxmlformats.org/officeDocument/2006/relationships/hyperlink" Target="https://dermec.net/" TargetMode="External" Id="rId27" /><Relationship Type="http://schemas.openxmlformats.org/officeDocument/2006/relationships/hyperlink" Target="https://www.medicinaesteticapanama.com/en/the-hair-clinic/" TargetMode="External" Id="rId28" /><Relationship Type="http://schemas.openxmlformats.org/officeDocument/2006/relationships/hyperlink" Target="https://www.drsamudio.com/" TargetMode="External" Id="rId29" /><Relationship Type="http://schemas.openxmlformats.org/officeDocument/2006/relationships/hyperlink" Target="https://www.dermomedica.com.pa/" TargetMode="External" Id="rId30" /><Relationship Type="http://schemas.openxmlformats.org/officeDocument/2006/relationships/hyperlink" Target="https://drcarlosrebollon.com/" TargetMode="External" Id="rId31" /><Relationship Type="http://schemas.openxmlformats.org/officeDocument/2006/relationships/hyperlink" Target="https://studiodearquitectura.com/" TargetMode="External" Id="rId32" /><Relationship Type="http://schemas.openxmlformats.org/officeDocument/2006/relationships/hyperlink" Target="http://femurstudio.com/" TargetMode="External" Id="rId33" /><Relationship Type="http://schemas.openxmlformats.org/officeDocument/2006/relationships/hyperlink" Target="https://www.pilarsinclair.com/pag/sobre-mi" TargetMode="External" Id="rId34" /><Relationship Type="http://schemas.openxmlformats.org/officeDocument/2006/relationships/hyperlink" Target="https://teranarq.com/" TargetMode="External" Id="rId35" /><Relationship Type="http://schemas.openxmlformats.org/officeDocument/2006/relationships/hyperlink" Target="https://www.lovedesignpanama.com/" TargetMode="External" Id="rId36" /><Relationship Type="http://schemas.openxmlformats.org/officeDocument/2006/relationships/hyperlink" Target="https://www.squadramfo.com/" TargetMode="External" Id="rId37" /><Relationship Type="http://schemas.openxmlformats.org/officeDocument/2006/relationships/hyperlink" Target="https://www.genasset.com/" TargetMode="External" Id="rId38" /><Relationship Type="http://schemas.openxmlformats.org/officeDocument/2006/relationships/hyperlink" Target="https://www.miuracapital.com.pa/" TargetMode="External" Id="rId39" /><Relationship Type="http://schemas.openxmlformats.org/officeDocument/2006/relationships/hyperlink" Target="http://www.westwood.com.pa/" TargetMode="External" Id="rId40" /><Relationship Type="http://schemas.openxmlformats.org/officeDocument/2006/relationships/hyperlink" Target="https://pramadexcorp.com/en/" TargetMode="External" Id="rId41" /><Relationship Type="http://schemas.openxmlformats.org/officeDocument/2006/relationships/hyperlink" Target="https://gestiproject.com/" TargetMode="External" Id="rId42" /><Relationship Type="http://schemas.openxmlformats.org/officeDocument/2006/relationships/hyperlink" Target="https://fimtrust.com.pa/" TargetMode="External" Id="rId43" /><Relationship Type="http://schemas.openxmlformats.org/officeDocument/2006/relationships/hyperlink" Target="https://tadvisorsgroup.com/en/" TargetMode="External" Id="rId44" /><Relationship Type="http://schemas.openxmlformats.org/officeDocument/2006/relationships/hyperlink" Target="https://kb-familyoffice.com/en/" TargetMode="External" Id="rId45" /><Relationship Type="http://schemas.openxmlformats.org/officeDocument/2006/relationships/hyperlink" Target="https://www.centralfiduciaria.com/" TargetMode="External" Id="rId46" /><Relationship Type="http://schemas.openxmlformats.org/officeDocument/2006/relationships/hyperlink" Target="https://coffeeestateinn.com" TargetMode="External" Id="rId47" /><Relationship Type="http://schemas.openxmlformats.org/officeDocument/2006/relationships/hyperlink" Target="https://scubacoiba.com" TargetMode="External" Id="rId48" /><Relationship Type="http://schemas.openxmlformats.org/officeDocument/2006/relationships/hyperlink" Target="https://fishpanamatoday.com" TargetMode="External" Id="rId49" /><Relationship Type="http://schemas.openxmlformats.org/officeDocument/2006/relationships/hyperlink" Target="https://pescapanama.com" TargetMode="External" Id="rId50" /><Relationship Type="http://schemas.openxmlformats.org/officeDocument/2006/relationships/hyperlink" Target="https://catamaranadventures.net" TargetMode="External" Id="rId51" /><Relationship Type="http://schemas.openxmlformats.org/officeDocument/2006/relationships/hyperlink" Target="https://urracamonkeyisland.com" TargetMode="External" Id="rId52" /><Relationship Type="http://schemas.openxmlformats.org/officeDocument/2006/relationships/hyperlink" Target="https://laconcordiapanama.com.pa" TargetMode="External" Id="rId53" /><Relationship Type="http://schemas.openxmlformats.org/officeDocument/2006/relationships/hyperlink" Target="https://thearkdivers.com" TargetMode="External" Id="rId54" /><Relationship Type="http://schemas.openxmlformats.org/officeDocument/2006/relationships/hyperlink" Target="https://tranquilobay.com" TargetMode="External" Id="rId5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dvmotors.co" TargetMode="External" Id="rId1" /><Relationship Type="http://schemas.openxmlformats.org/officeDocument/2006/relationships/hyperlink" Target="https://luxurygaragepanama.com" TargetMode="External" Id="rId2" /><Relationship Type="http://schemas.openxmlformats.org/officeDocument/2006/relationships/hyperlink" Target="https://usadospanama.com" TargetMode="External" Id="rId3" /><Relationship Type="http://schemas.openxmlformats.org/officeDocument/2006/relationships/hyperlink" Target="https://bottenhornpa.com" TargetMode="External" Id="rId4" /><Relationship Type="http://schemas.openxmlformats.org/officeDocument/2006/relationships/hyperlink" Target="https://profilglasspty.com" TargetMode="External" Id="rId5" /><Relationship Type="http://schemas.openxmlformats.org/officeDocument/2006/relationships/hyperlink" Target="https://rapid-pools.com" TargetMode="External" Id="rId6" /><Relationship Type="http://schemas.openxmlformats.org/officeDocument/2006/relationships/hyperlink" Target="https://casabonittadesign.com" TargetMode="External" Id="rId7" /><Relationship Type="http://schemas.openxmlformats.org/officeDocument/2006/relationships/hyperlink" Target="https://solarpowerpat.net" TargetMode="External" Id="rId8" /><Relationship Type="http://schemas.openxmlformats.org/officeDocument/2006/relationships/hyperlink" Target="https://energizapanama.com" TargetMode="External" Id="rId9" /><Relationship Type="http://schemas.openxmlformats.org/officeDocument/2006/relationships/hyperlink" Target="https://potenciasolarinc.com" TargetMode="External" Id="rId10" /><Relationship Type="http://schemas.openxmlformats.org/officeDocument/2006/relationships/hyperlink" Target="https://powerlink.solar" TargetMode="External" Id="rId11" /><Relationship Type="http://schemas.openxmlformats.org/officeDocument/2006/relationships/hyperlink" Target="https://chez-marie.com" TargetMode="External" Id="rId12" /><Relationship Type="http://schemas.openxmlformats.org/officeDocument/2006/relationships/hyperlink" Target="https://guedesphotographers.com" TargetMode="External" Id="rId13" /><Relationship Type="http://schemas.openxmlformats.org/officeDocument/2006/relationships/hyperlink" Target="https://carlosyap.com" TargetMode="External" Id="rId14" /><Relationship Type="http://schemas.openxmlformats.org/officeDocument/2006/relationships/hyperlink" Target="https://rentyfive.com" TargetMode="External" Id="rId15" /><Relationship Type="http://schemas.openxmlformats.org/officeDocument/2006/relationships/hyperlink" Target="https://aldostagnaro.com" TargetMode="External" Id="rId16" /><Relationship Type="http://schemas.openxmlformats.org/officeDocument/2006/relationships/hyperlink" Target="https://panamasarah.com" TargetMode="External" Id="rId17" /><Relationship Type="http://schemas.openxmlformats.org/officeDocument/2006/relationships/hyperlink" Target="https://superautospanama.com" TargetMode="External" Id="rId18" /><Relationship Type="http://schemas.openxmlformats.org/officeDocument/2006/relationships/hyperlink" Target="https://fullcarspanama.com" TargetMode="External" Id="rId19" /><Relationship Type="http://schemas.openxmlformats.org/officeDocument/2006/relationships/hyperlink" Target="https://autosusadospanama.com" TargetMode="External" Id="rId20" /><Relationship Type="http://schemas.openxmlformats.org/officeDocument/2006/relationships/hyperlink" Target="https://carspotpanama.com" TargetMode="External" Id="rId21" /><Relationship Type="http://schemas.openxmlformats.org/officeDocument/2006/relationships/hyperlink" Target="https://championmotors.com.pa" TargetMode="External" Id="rId22" /><Relationship Type="http://schemas.openxmlformats.org/officeDocument/2006/relationships/hyperlink" Target="https://artecocinas.net" TargetMode="External" Id="rId23" /><Relationship Type="http://schemas.openxmlformats.org/officeDocument/2006/relationships/hyperlink" Target="https://maobemuebles.com" TargetMode="External" Id="rId24" /><Relationship Type="http://schemas.openxmlformats.org/officeDocument/2006/relationships/hyperlink" Target="https://ventanasvigil.com" TargetMode="External" Id="rId25" /><Relationship Type="http://schemas.openxmlformats.org/officeDocument/2006/relationships/hyperlink" Target="https://theglasshousepanama.com" TargetMode="External" Id="rId26" /><Relationship Type="http://schemas.openxmlformats.org/officeDocument/2006/relationships/hyperlink" Target="https://remodelapanama.com" TargetMode="External" Id="rId27" /><Relationship Type="http://schemas.openxmlformats.org/officeDocument/2006/relationships/hyperlink" Target="https://renovationpa.com" TargetMode="External" Id="rId28" /><Relationship Type="http://schemas.openxmlformats.org/officeDocument/2006/relationships/hyperlink" Target="https://dirasmart.com" TargetMode="External" Id="rId29" /><Relationship Type="http://schemas.openxmlformats.org/officeDocument/2006/relationships/hyperlink" Target="https://bahiasolarenergy.com" TargetMode="External" Id="rId30" /><Relationship Type="http://schemas.openxmlformats.org/officeDocument/2006/relationships/hyperlink" Target="https://panelessolaresenpanama.com" TargetMode="External" Id="rId31" /><Relationship Type="http://schemas.openxmlformats.org/officeDocument/2006/relationships/hyperlink" Target="https://solarpanelpanama.com" TargetMode="External" Id="rId32" /><Relationship Type="http://schemas.openxmlformats.org/officeDocument/2006/relationships/hyperlink" Target="https://panamasolarsolutions.com" TargetMode="External" Id="rId33" /><Relationship Type="http://schemas.openxmlformats.org/officeDocument/2006/relationships/hyperlink" Target="https://siempresolpanama.com" TargetMode="External" Id="rId34" /><Relationship Type="http://schemas.openxmlformats.org/officeDocument/2006/relationships/hyperlink" Target="https://electrysol.com" TargetMode="External" Id="rId35" /><Relationship Type="http://schemas.openxmlformats.org/officeDocument/2006/relationships/hyperlink" Target="https://paolamantilla.com" TargetMode="External" Id="rId36" /><Relationship Type="http://schemas.openxmlformats.org/officeDocument/2006/relationships/hyperlink" Target="https://mchthebrideatelier.com" TargetMode="External" Id="rId37" /><Relationship Type="http://schemas.openxmlformats.org/officeDocument/2006/relationships/hyperlink" Target="https://bacionieventos.com" TargetMode="External" Id="rId38" /><Relationship Type="http://schemas.openxmlformats.org/officeDocument/2006/relationships/hyperlink" Target="https://casagrecapa.com" TargetMode="External" Id="rId39" /><Relationship Type="http://schemas.openxmlformats.org/officeDocument/2006/relationships/hyperlink" Target="https://losmolinoshotel.com" TargetMode="External" Id="rId40" /><Relationship Type="http://schemas.openxmlformats.org/officeDocument/2006/relationships/hyperlink" Target="https://lefleurbymichellevallarino.com" TargetMode="External" Id="rId41" /><Relationship Type="http://schemas.openxmlformats.org/officeDocument/2006/relationships/hyperlink" Target="https://casacasco.com" TargetMode="External" Id="rId42" /><Relationship Type="http://schemas.openxmlformats.org/officeDocument/2006/relationships/hyperlink" Target="https://estelasrealty.com" TargetMode="External" Id="rId43" /><Relationship Type="http://schemas.openxmlformats.org/officeDocument/2006/relationships/hyperlink" Target="https://panamapropertyguru.com" TargetMode="External" Id="rId44" /><Relationship Type="http://schemas.openxmlformats.org/officeDocument/2006/relationships/hyperlink" Target="https://nuba.rentals" TargetMode="External" Id="rId45" /><Relationship Type="http://schemas.openxmlformats.org/officeDocument/2006/relationships/hyperlink" Target="https://overthewaterrentals.com" TargetMode="External" Id="rId46" /><Relationship Type="http://schemas.openxmlformats.org/officeDocument/2006/relationships/hyperlink" Target="https://boquetevacations.com" TargetMode="External" Id="rId47" /><Relationship Type="http://schemas.openxmlformats.org/officeDocument/2006/relationships/hyperlink" Target="https://panamabeachview.com" TargetMode="External" Id="rId48" /><Relationship Type="http://schemas.openxmlformats.org/officeDocument/2006/relationships/hyperlink" Target="https://24clima.com" TargetMode="External" Id="rId49" /><Relationship Type="http://schemas.openxmlformats.org/officeDocument/2006/relationships/hyperlink" Target="https://solaris-panama.com" TargetMode="External" Id="rId50" /><Relationship Type="http://schemas.openxmlformats.org/officeDocument/2006/relationships/hyperlink" Target="https://energyandsolarsolutions.com" TargetMode="External" Id="rId51" /><Relationship Type="http://schemas.openxmlformats.org/officeDocument/2006/relationships/hyperlink" Target="https://maitopanama.com" TargetMode="External" Id="rId52" /><Relationship Type="http://schemas.openxmlformats.org/officeDocument/2006/relationships/hyperlink" Target="https://lalapanama.com" TargetMode="External" Id="rId53" /><Relationship Type="http://schemas.openxmlformats.org/officeDocument/2006/relationships/hyperlink" Target="https://reginaevent.com" TargetMode="External" Id="rId5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0" customWidth="1" min="4" max="4"/>
    <col width="36" customWidth="1" min="5" max="5"/>
    <col width="44" customWidth="1" min="6" max="6"/>
    <col width="30" customWidth="1" min="7" max="7"/>
    <col width="40" customWidth="1" min="8" max="8"/>
    <col width="50" customWidth="1" min="9" max="9"/>
    <col width="46" customWidth="1" min="10" max="10"/>
    <col width="60" customWidth="1" min="11" max="11"/>
    <col width="16" customWidth="1" min="12" max="12"/>
    <col width="14" customWidth="1" min="13" max="13"/>
    <col width="14" customWidth="1" min="14" max="14"/>
    <col width="30" customWidth="1" min="15" max="15"/>
    <col width="30" customWidth="1" min="16" max="16"/>
  </cols>
  <sheetData>
    <row r="1">
      <c r="A1" s="1" t="inlineStr">
        <is>
          <t>#</t>
        </is>
      </c>
      <c r="B1" s="1" t="inlineStr">
        <is>
          <t>Nicho</t>
        </is>
      </c>
      <c r="C1" s="1" t="inlineStr">
        <is>
          <t>Prioridad</t>
        </is>
      </c>
      <c r="D1" s="1" t="inlineStr">
        <is>
          <t>Empresa</t>
        </is>
      </c>
      <c r="E1" s="1" t="inlineStr">
        <is>
          <t>Web</t>
        </is>
      </c>
      <c r="F1" s="1" t="inlineStr">
        <is>
          <t>Qué venden / ticket</t>
        </is>
      </c>
      <c r="G1" s="1" t="inlineStr">
        <is>
          <t>Decisor</t>
        </is>
      </c>
      <c r="H1" s="1" t="inlineStr">
        <is>
          <t>Contacto</t>
        </is>
      </c>
      <c r="I1" s="1" t="inlineStr">
        <is>
          <t>Problema de la web (por confirmar)</t>
        </is>
      </c>
      <c r="J1" s="1" t="inlineStr">
        <is>
          <t>Evidencia de negocio fuerte</t>
        </is>
      </c>
      <c r="K1" s="1" t="inlineStr">
        <is>
          <t>Gancho (ES)</t>
        </is>
      </c>
      <c r="L1" s="2" t="inlineStr">
        <is>
          <t>Estado</t>
        </is>
      </c>
      <c r="M1" s="2" t="inlineStr">
        <is>
          <t>Fecha contacto</t>
        </is>
      </c>
      <c r="N1" s="2" t="inlineStr">
        <is>
          <t>Canal</t>
        </is>
      </c>
      <c r="O1" s="2" t="inlineStr">
        <is>
          <t>Respuesta</t>
        </is>
      </c>
      <c r="P1" s="2" t="inlineStr">
        <is>
          <t>Notas</t>
        </is>
      </c>
    </row>
    <row r="2" ht="96" customHeight="1">
      <c r="A2" s="3" t="n">
        <v>1</v>
      </c>
      <c r="B2" s="3" t="inlineStr">
        <is>
          <t>Bufetes de abogados</t>
        </is>
      </c>
      <c r="C2" s="4" t="inlineStr">
        <is>
          <t>A</t>
        </is>
      </c>
      <c r="D2" s="3" t="inlineStr">
        <is>
          <t>Delvalle &amp; Delvalle</t>
        </is>
      </c>
      <c r="E2" s="5" t="inlineStr">
        <is>
          <t>https://www.delvallepanama.com</t>
        </is>
      </c>
      <c r="F2" s="3" t="inlineStr">
        <is>
          <t>Offshore: sociedades, fundaciones de interés privado, cuentas bancarias, bienes raíces vía estructuras</t>
        </is>
      </c>
      <c r="G2" s="3" t="inlineStr">
        <is>
          <t>Benjamín Delvalle (socio)</t>
        </is>
      </c>
      <c r="H2" s="3" t="inlineStr">
        <is>
          <t>info@delvallepanama.com (genérico); LinkedIn linkedin.com/in/benjamin-delvalle-4324666; +507 390-2890</t>
        </is>
      </c>
      <c r="I2" s="3" t="inlineStr">
        <is>
          <t>Páginas .html estáticas con slugs llenos de keywords; dos dominios (delvallepanama.com y delvalledelvalle.com) que dividen la marca; sin reseñas en Google</t>
        </is>
      </c>
      <c r="J2" s="3" t="inlineStr">
        <is>
          <t>Fundada 2004; departamento de clientes extranjeros desde 2006; 15+ años asesorando clientes internacionales</t>
        </is>
      </c>
      <c r="K2" s="3" t="inlineStr">
        <is>
          <t>Un inversionista que busca una fundación de interés privado llega a una página .html de 2010 con el nombre de la firma repetido ocho veces, y se va a la siguiente pestaña.</t>
        </is>
      </c>
      <c r="L2" s="6" t="inlineStr">
        <is>
          <t>Pendiente</t>
        </is>
      </c>
      <c r="M2" s="7" t="n"/>
      <c r="N2" s="6" t="n"/>
      <c r="O2" s="6" t="n"/>
      <c r="P2" s="6" t="n"/>
    </row>
    <row r="3" ht="96" customHeight="1">
      <c r="A3" s="3" t="n">
        <v>2</v>
      </c>
      <c r="B3" s="3" t="inlineStr">
        <is>
          <t>Bufetes de abogados</t>
        </is>
      </c>
      <c r="C3" s="4" t="inlineStr">
        <is>
          <t>A</t>
        </is>
      </c>
      <c r="D3" s="3" t="inlineStr">
        <is>
          <t>Chen Lee y Asociados</t>
        </is>
      </c>
      <c r="E3" s="5" t="inlineStr">
        <is>
          <t>https://www.chenleeyasociados.com</t>
        </is>
      </c>
      <c r="F3" s="3" t="inlineStr">
        <is>
          <t>Sociedades offshore y locales, fundaciones, apertura de cuentas, visas y residencia, bienes raíces</t>
        </is>
      </c>
      <c r="G3" s="3" t="inlineStr">
        <is>
          <t>Carlos Antonio Ortega Espinosa (abogado principal)</t>
        </is>
      </c>
      <c r="H3" s="3" t="inlineStr">
        <is>
          <t>Solo formulario web; X @ServicioLegal; The Century Tower piso 4</t>
        </is>
      </c>
      <c r="I3" s="3" t="inlineStr">
        <is>
          <t>Sitio .html estático; versión en inglés como páginas sueltas (about-us-en.html) en vez de un idioma real; español primero</t>
        </is>
      </c>
      <c r="J3" s="3" t="inlineStr">
        <is>
          <t>Fundada 2009; 11-50 empleados; vende sociedad + banca + migración al extranjero (alto valor por cliente)</t>
        </is>
      </c>
      <c r="K3" s="3" t="inlineStr">
        <is>
          <t>Su página en inglés es una copia aparte de la versión en español, y Google no sabe cuál mostrarle al cliente en Miami.</t>
        </is>
      </c>
      <c r="L3" s="6" t="inlineStr">
        <is>
          <t>Pendiente</t>
        </is>
      </c>
      <c r="M3" s="7" t="n"/>
      <c r="N3" s="6" t="n"/>
      <c r="O3" s="6" t="n"/>
      <c r="P3" s="6" t="n"/>
    </row>
    <row r="4" ht="96" customHeight="1">
      <c r="A4" s="3" t="n">
        <v>3</v>
      </c>
      <c r="B4" s="3" t="inlineStr">
        <is>
          <t>Bufetes de abogados</t>
        </is>
      </c>
      <c r="C4" s="4" t="inlineStr">
        <is>
          <t>A</t>
        </is>
      </c>
      <c r="D4" s="3" t="inlineStr">
        <is>
          <t>Mata &amp; Pitti</t>
        </is>
      </c>
      <c r="E4" s="5" t="inlineStr">
        <is>
          <t>https://www.matapitti.com</t>
        </is>
      </c>
      <c r="F4" s="3" t="inlineStr">
        <is>
          <t>Sociedades offshore, fundaciones, registro de naves y yates, marítimo, residencia</t>
        </is>
      </c>
      <c r="G4" s="3" t="inlineStr">
        <is>
          <t>Francisco Javier Mata Donado y Lourdes Pitti Sagrera (socios fundadores)</t>
        </is>
      </c>
      <c r="H4" s="3" t="inlineStr">
        <is>
          <t>Sin correo directo público; LinkedIn linkedin.com/in/franciscojaviermatadonado; Torre Advanced, Calle Ricardo Arias</t>
        </is>
      </c>
      <c r="I4" s="3" t="inlineStr">
        <is>
          <t>WordPress antiguo; casi cero reseñas (última de 2017); redes sociales inactivas</t>
        </is>
      </c>
      <c r="J4" s="3" t="inlineStr">
        <is>
          <t>Fundada 1984; 40+ años; clientela internacional; registro de yates = ticket alto</t>
        </is>
      </c>
      <c r="K4" s="3" t="inlineStr">
        <is>
          <t>Cuarenta años de trayectoria y cero reseñas en Google: el cliente extranjero no tiene cómo saber que ustedes existen desde 1984.</t>
        </is>
      </c>
      <c r="L4" s="6" t="inlineStr">
        <is>
          <t>Pendiente</t>
        </is>
      </c>
      <c r="M4" s="7" t="n"/>
      <c r="N4" s="6" t="n"/>
      <c r="O4" s="6" t="n"/>
      <c r="P4" s="6" t="n"/>
    </row>
    <row r="5" ht="96" customHeight="1">
      <c r="A5" s="3" t="n">
        <v>4</v>
      </c>
      <c r="B5" s="3" t="inlineStr">
        <is>
          <t>Bufetes de abogados</t>
        </is>
      </c>
      <c r="C5" s="4" t="inlineStr">
        <is>
          <t>A</t>
        </is>
      </c>
      <c r="D5" s="3" t="inlineStr">
        <is>
          <t>PTY Lawyers</t>
        </is>
      </c>
      <c r="E5" s="5" t="inlineStr">
        <is>
          <t>https://www.ptylawyers.com</t>
        </is>
      </c>
      <c r="F5" s="3" t="inlineStr">
        <is>
          <t>Migración para expats, bienes raíces, sociedades, fundaciones, planificación patrimonial</t>
        </is>
      </c>
      <c r="G5" s="3" t="inlineStr">
        <is>
          <t>Tanya Coronado (fundadora)</t>
        </is>
      </c>
      <c r="H5" s="3" t="inlineStr">
        <is>
          <t>tanyacoronado@ptylawyers.com (DIRECTO); +507 213-0012; oficinas en Bella Vista y Gorgona</t>
        </is>
      </c>
      <c r="I5" s="3" t="inlineStr">
        <is>
          <t>URLs de constructor antiguo (/practice_area); un blog viejo en WordPress.com sigue posicionando para su contacto; sin reseñas Google visibles</t>
        </is>
      </c>
      <c r="J5" s="3" t="inlineStr">
        <is>
          <t>Desde 2009; dos oficinas (ciudad + playa); fundadora preside Origen Real Estate; conferencista en eventos de Playacommunity</t>
        </is>
      </c>
      <c r="K5" s="3" t="inlineStr">
        <is>
          <t>El expat de Coronado la conoce por los eventos de Playacommunity, pero cuando la busca en Google aparece primero un blog de WordPress.com de hace años.</t>
        </is>
      </c>
      <c r="L5" s="6" t="inlineStr">
        <is>
          <t>Pendiente</t>
        </is>
      </c>
      <c r="M5" s="7" t="n"/>
      <c r="N5" s="6" t="n"/>
      <c r="O5" s="6" t="n"/>
      <c r="P5" s="6" t="n"/>
    </row>
    <row r="6" ht="96" customHeight="1">
      <c r="A6" s="3" t="n">
        <v>5</v>
      </c>
      <c r="B6" s="3" t="inlineStr">
        <is>
          <t>Bufetes de abogados</t>
        </is>
      </c>
      <c r="C6" s="4" t="inlineStr">
        <is>
          <t>A</t>
        </is>
      </c>
      <c r="D6" s="3" t="inlineStr">
        <is>
          <t>Kovalenko &amp; Vera</t>
        </is>
      </c>
      <c r="E6" s="5" t="inlineStr">
        <is>
          <t>https://kovalenkovera.com</t>
        </is>
      </c>
      <c r="F6" s="3" t="inlineStr">
        <is>
          <t>Migración, sociedades, bienes raíces, impuestos, PI, registro naviero para clientes internacionales</t>
        </is>
      </c>
      <c r="G6" s="3" t="inlineStr">
        <is>
          <t>Colón Eloy Vera (socio, migración)</t>
        </is>
      </c>
      <c r="H6" s="3" t="inlineStr">
        <is>
          <t>Solo formulario; +507 6252-2149; Plaza Banco General piso 24</t>
        </is>
      </c>
      <c r="I6" s="3" t="inlineStr">
        <is>
          <t>WordPress con todas las URLs en español aunque venden a extranjeros; sin reseñas</t>
        </is>
      </c>
      <c r="J6" s="3" t="inlineStr">
        <is>
          <t>Fundada 2004; equipo de 9; red aeuropea.com; clientes rusos, europeos y expats</t>
        </is>
      </c>
      <c r="K6" s="3" t="inlineStr">
        <is>
          <t>Venden a inversionistas extranjeros, pero cada URL de su sitio está en español: el cliente ruso o canadiense ni siquiera llega a la página correcta.</t>
        </is>
      </c>
      <c r="L6" s="6" t="inlineStr">
        <is>
          <t>Pendiente</t>
        </is>
      </c>
      <c r="M6" s="7" t="n"/>
      <c r="N6" s="6" t="n"/>
      <c r="O6" s="6" t="n"/>
      <c r="P6" s="6" t="n"/>
    </row>
    <row r="7" ht="96" customHeight="1">
      <c r="A7" s="3" t="n">
        <v>6</v>
      </c>
      <c r="B7" s="3" t="inlineStr">
        <is>
          <t>Bufetes de abogados</t>
        </is>
      </c>
      <c r="C7" s="8" t="inlineStr">
        <is>
          <t>B</t>
        </is>
      </c>
      <c r="D7" s="3" t="inlineStr">
        <is>
          <t>International Relocation Firm</t>
        </is>
      </c>
      <c r="E7" s="5" t="inlineStr">
        <is>
          <t>https://www.relofirm.com</t>
        </is>
      </c>
      <c r="F7" s="3" t="inlineStr">
        <is>
          <t>Migración, relocation, bienes raíces, ciudadanía, corporativo, marítimo</t>
        </is>
      </c>
      <c r="G7" s="3" t="inlineStr">
        <is>
          <t>Carmen Ortiz (socia senior); Chris Marcel Seguí</t>
        </is>
      </c>
      <c r="H7" s="3" t="inlineStr">
        <is>
          <t>Sin correo directo público</t>
        </is>
      </c>
      <c r="I7" s="3" t="inlineStr">
        <is>
          <t>Presencia fragmentada (www + legal.relofirm.com); URLs con guion bajo; Google 4.2 con 74 reseñas y quejas repetidas por falta de comunicación</t>
        </is>
      </c>
      <c r="J7" s="3" t="inlineStr">
        <is>
          <t>20+ años; 15 abogados y expertos en relocation; 74 reseñas = volumen real</t>
        </is>
      </c>
      <c r="K7" s="3" t="inlineStr">
        <is>
          <t>Tienen 74 reseñas y las malas dicen lo mismo: 'nadie me respondió'. Eso no es un problema legal, es un problema de seguimiento automatizable.</t>
        </is>
      </c>
      <c r="L7" s="6" t="inlineStr">
        <is>
          <t>Pendiente</t>
        </is>
      </c>
      <c r="M7" s="7" t="n"/>
      <c r="N7" s="6" t="n"/>
      <c r="O7" s="6" t="n"/>
      <c r="P7" s="6" t="n"/>
    </row>
    <row r="8" ht="96" customHeight="1">
      <c r="A8" s="3" t="n">
        <v>7</v>
      </c>
      <c r="B8" s="3" t="inlineStr">
        <is>
          <t>Bufetes de abogados</t>
        </is>
      </c>
      <c r="C8" s="8" t="inlineStr">
        <is>
          <t>B</t>
        </is>
      </c>
      <c r="D8" s="3" t="inlineStr">
        <is>
          <t>NDM Law Firm &amp; Associates</t>
        </is>
      </c>
      <c r="E8" s="5" t="inlineStr">
        <is>
          <t>https://www.ndm.com.pa</t>
        </is>
      </c>
      <c r="F8" s="3" t="inlineStr">
        <is>
          <t>Migración y residencia, offshore, corporativo, impuestos, familia</t>
        </is>
      </c>
      <c r="G8" s="3" t="inlineStr">
        <is>
          <t>Melva Herrera y Amarilis Chávez (socias fundadoras); Nisim Lici (gerente general)</t>
        </is>
      </c>
      <c r="H8" s="3" t="inlineStr">
        <is>
          <t>Sin correo directo público</t>
        </is>
      </c>
      <c r="I8" s="3" t="inlineStr">
        <is>
          <t>Tres estructuras de URL distintas conviviendo (varios rediseños a medias); sin reseñas visibles</t>
        </is>
      </c>
      <c r="J8" s="3" t="inlineStr">
        <is>
          <t>17 años; socios en LatAm, Norteamérica, Europa y Asia; miembro de Justinian Lawyers</t>
        </is>
      </c>
      <c r="K8" s="3" t="inlineStr">
        <is>
          <t>Su sitio tiene tres estructuras de URL distintas conviviendo: cada rediseño a medias le cuesta posicionamiento frente a firmas más nuevas.</t>
        </is>
      </c>
      <c r="L8" s="6" t="inlineStr">
        <is>
          <t>Pendiente</t>
        </is>
      </c>
      <c r="M8" s="7" t="n"/>
      <c r="N8" s="6" t="n"/>
      <c r="O8" s="6" t="n"/>
      <c r="P8" s="6" t="n"/>
    </row>
    <row r="9" ht="96" customHeight="1">
      <c r="A9" s="3" t="n">
        <v>8</v>
      </c>
      <c r="B9" s="3" t="inlineStr">
        <is>
          <t>Bufetes de abogados</t>
        </is>
      </c>
      <c r="C9" s="8" t="inlineStr">
        <is>
          <t>B</t>
        </is>
      </c>
      <c r="D9" s="3" t="inlineStr">
        <is>
          <t>J. Quijano</t>
        </is>
      </c>
      <c r="E9" s="5" t="inlineStr">
        <is>
          <t>https://jquijano.com</t>
        </is>
      </c>
      <c r="F9" s="3" t="inlineStr">
        <is>
          <t>Corporativo, migración, laboral, marítimo</t>
        </is>
      </c>
      <c r="G9" s="3" t="inlineStr">
        <is>
          <t>Jorge A. Quijano R. (fundador y socio director)</t>
        </is>
      </c>
      <c r="H9" s="3" t="inlineStr">
        <is>
          <t>Sin correo directo público; 4 abogados</t>
        </is>
      </c>
      <c r="I9" s="3" t="inlineStr">
        <is>
          <t>WordPress bilingüe; la marca choca online con Quijano &amp; Associates (quijano.com, 1959), mucho más grande</t>
        </is>
      </c>
      <c r="J9" s="3" t="inlineStr">
        <is>
          <t>14+ años como firma; fundador con 20+ años; clientela corporativa y marítima</t>
        </is>
      </c>
      <c r="K9" s="3" t="inlineStr">
        <is>
          <t>Cuando un cliente busca 'Quijano abogados Panamá', Google le entrega la firma grande de 1959, no la suya.</t>
        </is>
      </c>
      <c r="L9" s="6" t="inlineStr">
        <is>
          <t>Pendiente</t>
        </is>
      </c>
      <c r="M9" s="7" t="n"/>
      <c r="N9" s="6" t="n"/>
      <c r="O9" s="6" t="n"/>
      <c r="P9" s="6" t="n"/>
    </row>
    <row r="10" ht="96" customHeight="1">
      <c r="A10" s="3" t="n">
        <v>9</v>
      </c>
      <c r="B10" s="3" t="inlineStr">
        <is>
          <t>Bufetes de abogados</t>
        </is>
      </c>
      <c r="C10" s="8" t="inlineStr">
        <is>
          <t>B</t>
        </is>
      </c>
      <c r="D10" s="3" t="inlineStr">
        <is>
          <t>PGS Attorneys</t>
        </is>
      </c>
      <c r="E10" s="5" t="inlineStr">
        <is>
          <t>https://www.panamags.com/en/</t>
        </is>
      </c>
      <c r="F10" s="3" t="inlineStr">
        <is>
          <t>Corporativo, migración, bienes raíces, litigios, planificación patrimonial; inmobiliaria hermana</t>
        </is>
      </c>
      <c r="G10" s="3" t="inlineStr">
        <is>
          <t>Emilio Cornejo V. (socio fundador); Miguel A. Domínguez (socio director)</t>
        </is>
      </c>
      <c r="H10" s="3" t="inlineStr">
        <is>
          <t>Sin correo directo público; Samuel Lewis y Calle 56</t>
        </is>
      </c>
      <c r="I10" s="3" t="inlineStr">
        <is>
          <t>El título indexado en Google dice 'PSG Legal' (error de tipeo de PGS); marca partida en dos dominios (panamags.com y pgs.legal)</t>
        </is>
      </c>
      <c r="J10" s="3" t="inlineStr">
        <is>
          <t>Fundada 2008; 25 personas; miembro de Alliott Global Alliance; personal senior de EEUU, Canadá y UK</t>
        </is>
      </c>
      <c r="K10" s="3" t="inlineStr">
        <is>
          <t>El título de su página principal en Google dice 'PSG' en vez de 'PGS': la primera impresión que da la firma es un error de tipeo.</t>
        </is>
      </c>
      <c r="L10" s="6" t="inlineStr">
        <is>
          <t>Pendiente</t>
        </is>
      </c>
      <c r="M10" s="7" t="n"/>
      <c r="N10" s="6" t="n"/>
      <c r="O10" s="6" t="n"/>
      <c r="P10" s="6" t="n"/>
    </row>
    <row r="11" ht="96" customHeight="1">
      <c r="A11" s="3" t="n">
        <v>10</v>
      </c>
      <c r="B11" s="3" t="inlineStr">
        <is>
          <t>Bufetes de abogados</t>
        </is>
      </c>
      <c r="C11" s="8" t="inlineStr">
        <is>
          <t>B</t>
        </is>
      </c>
      <c r="D11" s="3" t="inlineStr">
        <is>
          <t>Kraemer &amp; Kraemer</t>
        </is>
      </c>
      <c r="E11" s="5" t="inlineStr">
        <is>
          <t>https://kraemerlaw.com/en/home/</t>
        </is>
      </c>
      <c r="F11" s="3" t="inlineStr">
        <is>
          <t>Negocios, impuestos, bienes raíces, migración para inversionistas extranjeros</t>
        </is>
      </c>
      <c r="G11" s="3" t="inlineStr">
        <is>
          <t>Marcos Kraemer (fundador)</t>
        </is>
      </c>
      <c r="H11" s="3" t="inlineStr">
        <is>
          <t>Sin correo directo público; Calle 50, PH Plaza 2000 piso 17; también Bocas del Toro</t>
        </is>
      </c>
      <c r="I11" s="3" t="inlineStr">
        <is>
          <t>Web probablemente la mejor de la lista: pitch de IA / atención 24-7, no rediseño</t>
        </is>
      </c>
      <c r="J11" s="3" t="inlineStr">
        <is>
          <t>Fundada 2008; 4.9/5 con 63 reseñas; Client Champion 2021; 2,000+ clientes internacionales</t>
        </is>
      </c>
      <c r="K11" s="3" t="inlineStr">
        <is>
          <t>Con 2,000 clientes atendidos y 4.9 estrellas, cada consulta que entra de noche desde Europa debería recibir respuesta en un minuto, no al día siguiente.</t>
        </is>
      </c>
      <c r="L11" s="6" t="inlineStr">
        <is>
          <t>Pendiente</t>
        </is>
      </c>
      <c r="M11" s="7" t="n"/>
      <c r="N11" s="6" t="n"/>
      <c r="O11" s="6" t="n"/>
      <c r="P11" s="6" t="n"/>
    </row>
    <row r="12" ht="96" customHeight="1">
      <c r="A12" s="3" t="n">
        <v>11</v>
      </c>
      <c r="B12" s="3" t="inlineStr">
        <is>
          <t>Bienes raíces de lujo</t>
        </is>
      </c>
      <c r="C12" s="4" t="inlineStr">
        <is>
          <t>A</t>
        </is>
      </c>
      <c r="D12" s="3" t="inlineStr">
        <is>
          <t>Casa Solution (Boquete)</t>
        </is>
      </c>
      <c r="E12" s="5" t="inlineStr">
        <is>
          <t>https://www.casasolution.com/</t>
        </is>
      </c>
      <c r="F12" s="3" t="inlineStr">
        <is>
          <t>Casas de montaña, fincas de café y terrenos en Boquete (US$150K a US$1M+)</t>
        </is>
      </c>
      <c r="G12" s="3" t="inlineStr">
        <is>
          <t>Jason Cohen (CEO y propietario)</t>
        </is>
      </c>
      <c r="H12" s="3" t="inlineStr">
        <is>
          <t>Sin correo directo; oficina 6611-6049; LinkedIn linkedin.com/company/casa-solution</t>
        </is>
      </c>
      <c r="I12" s="3" t="inlineStr">
        <is>
          <t>El título de la web en Google es literalmente 'Boquete Office 6611.6049'; WordPress con URLs ?p=; www y no-www indexados a la vez; títulos de listados de 300+ caracteres</t>
        </is>
      </c>
      <c r="J12" s="3" t="inlineStr">
        <is>
          <t>Afirma vender más que todas las demás agencias de Boquete juntas; Best of Boquete 2017-2019; decenas de reseñas con nombre; Business Insider y Luxury Latin America</t>
        </is>
      </c>
      <c r="K12" s="3" t="inlineStr">
        <is>
          <t>Son la agencia número uno de Boquete, pero el título de su web en Google dice 'Boquete Office 6611.6049' en vez de Casa Solution: están regalando su marca en cada búsqueda.</t>
        </is>
      </c>
      <c r="L12" s="6" t="inlineStr">
        <is>
          <t>Pendiente</t>
        </is>
      </c>
      <c r="M12" s="7" t="n"/>
      <c r="N12" s="6" t="n"/>
      <c r="O12" s="6" t="n"/>
      <c r="P12" s="6" t="n"/>
    </row>
    <row r="13" ht="96" customHeight="1">
      <c r="A13" s="3" t="n">
        <v>12</v>
      </c>
      <c r="B13" s="3" t="inlineStr">
        <is>
          <t>Bienes raíces de lujo</t>
        </is>
      </c>
      <c r="C13" s="4" t="inlineStr">
        <is>
          <t>A</t>
        </is>
      </c>
      <c r="D13" s="3" t="inlineStr">
        <is>
          <t>Grupo Valor Development</t>
        </is>
      </c>
      <c r="E13" s="5" t="inlineStr">
        <is>
          <t>https://valordevelopment.com.pa/en/home-english-valor/</t>
        </is>
      </c>
      <c r="F13" s="3" t="inlineStr">
        <is>
          <t>Torres de lujo en preventa: Celeste, Corotú y Guayacán en Santa María; Alamar en Buenaventura; Casco, Costa del Este, Venao (US$360K a US$2M)</t>
        </is>
      </c>
      <c r="G13" s="3" t="inlineStr">
        <is>
          <t>Jorge Gallo (fundador y presidente); Fabrizio Guerrero (cofundador)</t>
        </is>
      </c>
      <c r="H13" s="3" t="inlineStr">
        <is>
          <t>LinkedIn pa.linkedin.com/in/jorge-gallo-b1019621; sin correo directo</t>
        </is>
      </c>
      <c r="I13" s="3" t="inlineStr">
        <is>
          <t>Home en inglés vive en /en/home-english-valor/ (traducción WPML descuidada); higiene de URLs amateur para una marca de US$2M por unidad</t>
        </is>
      </c>
      <c r="J13" s="3" t="inlineStr">
        <is>
          <t>250,000 m² de vivienda estrato 5-6 en una década; prensa en La Prensa, Semana, Axxis; alianza con Cemex; JV con Buenaventura</t>
        </is>
      </c>
      <c r="K13" s="3" t="inlineStr">
        <is>
          <t>Venden apartamentos de hasta 2 millones en Santa María, pero su página en inglés vive en /home-english-valor/: la experiencia digital no está a la altura de Guayacán ni de Celeste.</t>
        </is>
      </c>
      <c r="L13" s="6" t="inlineStr">
        <is>
          <t>Pendiente</t>
        </is>
      </c>
      <c r="M13" s="7" t="n"/>
      <c r="N13" s="6" t="n"/>
      <c r="O13" s="6" t="n"/>
      <c r="P13" s="6" t="n"/>
    </row>
    <row r="14" ht="96" customHeight="1">
      <c r="A14" s="3" t="n">
        <v>13</v>
      </c>
      <c r="B14" s="3" t="inlineStr">
        <is>
          <t>Bienes raíces de lujo</t>
        </is>
      </c>
      <c r="C14" s="4" t="inlineStr">
        <is>
          <t>A</t>
        </is>
      </c>
      <c r="D14" s="3" t="inlineStr">
        <is>
          <t>Punta Pacifica Realty</t>
        </is>
      </c>
      <c r="E14" s="5" t="inlineStr">
        <is>
          <t>https://www.puntapacificarealty.com/</t>
        </is>
      </c>
      <c r="F14" s="3" t="inlineStr">
        <is>
          <t>Reventa, alquiler y administración de condominios de lujo en Punta Pacífica (Ocean Club, Ocean Reef), Av. Balboa, Santa María (US$500K a US$5M+)</t>
        </is>
      </c>
      <c r="G14" s="3" t="inlineStr">
        <is>
          <t>Duncan McGowan (CEO y cofundador); Jeff Barton (socio director)</t>
        </is>
      </c>
      <c r="H14" s="3" t="inlineStr">
        <is>
          <t>Solo contacto genérico; equipo en puntapacificarealty.com/es/nuestro-equipo/</t>
        </is>
      </c>
      <c r="I14" s="3" t="inlineStr">
        <is>
          <t>Página de equipo indexada con error 'Punta Pacifica Reatly'; blog sigue mostrando posts de 2010 sobre Trump Ocean Club; títulos raros '– Real Estate via Punta Pacifica Realty'</t>
        </is>
      </c>
      <c r="J14" s="3" t="inlineStr">
        <is>
          <t>US$460M+ en ventas solo en Punta Pacífica; oficina dentro del Ocean Club; corredora líder de Ocean Reef Islands</t>
        </is>
      </c>
      <c r="K14" s="3" t="inlineStr">
        <is>
          <t>Manejan más de 460 millones en ventas desde el Ocean Club, pero su página de equipo en Google sale como 'Reatly' y el blog sigue hablando del Trump Ocean Club.</t>
        </is>
      </c>
      <c r="L14" s="6" t="inlineStr">
        <is>
          <t>Pendiente</t>
        </is>
      </c>
      <c r="M14" s="7" t="n"/>
      <c r="N14" s="6" t="n"/>
      <c r="O14" s="6" t="n"/>
      <c r="P14" s="6" t="n"/>
    </row>
    <row r="15" ht="96" customHeight="1">
      <c r="A15" s="3" t="n">
        <v>14</v>
      </c>
      <c r="B15" s="3" t="inlineStr">
        <is>
          <t>Bienes raíces de lujo</t>
        </is>
      </c>
      <c r="C15" s="4" t="inlineStr">
        <is>
          <t>A</t>
        </is>
      </c>
      <c r="D15" s="3" t="inlineStr">
        <is>
          <t>Metro Realty Panamá</t>
        </is>
      </c>
      <c r="E15" s="5" t="inlineStr">
        <is>
          <t>https://metrorealtypanama.com/</t>
        </is>
      </c>
      <c r="F15" s="3" t="inlineStr">
        <is>
          <t>1,000+ listados: reventa y preventa de lujo en Punta Pacífica, Casco, Santa María, Pearl Island (US$200K a US$3M+)</t>
        </is>
      </c>
      <c r="G15" s="3" t="inlineStr">
        <is>
          <t>Alexander Barrelier (fundador, 2007)</t>
        </is>
      </c>
      <c r="H15" s="3" t="inlineStr">
        <is>
          <t>Sin correo directo; LinkedIn no localizado</t>
        </is>
      </c>
      <c r="I15" s="3" t="inlineStr">
        <is>
          <t>WordPress con URLs ?p=3882 indexadas junto a las bonitas (contenido duplicado); título relleno de keywords</t>
        </is>
      </c>
      <c r="J15" s="3" t="inlineStr">
        <is>
          <t>Fundada 2007; 500+ transacciones; trabaja con promotoras e inversionistas internacionales</t>
        </is>
      </c>
      <c r="K15" s="3" t="inlineStr">
        <is>
          <t>Con más de mil propiedades y 500 transacciones, su sitio sigue indexando URLs tipo ?p=3882: Google está viendo duplicados en lugar de sus mejores listados.</t>
        </is>
      </c>
      <c r="L15" s="6" t="inlineStr">
        <is>
          <t>Pendiente</t>
        </is>
      </c>
      <c r="M15" s="7" t="n"/>
      <c r="N15" s="6" t="n"/>
      <c r="O15" s="6" t="n"/>
      <c r="P15" s="6" t="n"/>
    </row>
    <row r="16" ht="96" customHeight="1">
      <c r="A16" s="3" t="n">
        <v>15</v>
      </c>
      <c r="B16" s="3" t="inlineStr">
        <is>
          <t>Bienes raíces de lujo</t>
        </is>
      </c>
      <c r="C16" s="4" t="inlineStr">
        <is>
          <t>A</t>
        </is>
      </c>
      <c r="D16" s="3" t="inlineStr">
        <is>
          <t>Panama Equity Real Estate</t>
        </is>
      </c>
      <c r="E16" s="5" t="inlineStr">
        <is>
          <t>https://www.panamaequity.com/</t>
        </is>
      </c>
      <c r="F16" s="3" t="inlineStr">
        <is>
          <t>Reventa y preventa lifestyle: Punta Pacífica, Pearl Islands, Pedasí, Boquete, Bocas (US$150K a US$3M+)</t>
        </is>
      </c>
      <c r="G16" s="3" t="inlineStr">
        <is>
          <t>Kent Davis (fundador, 2009)</t>
        </is>
      </c>
      <c r="H16" s="3" t="inlineStr">
        <is>
          <t>Sin correo directo; autor en panamaequity.com/es/author/kent/</t>
        </is>
      </c>
      <c r="I16" s="3" t="inlineStr">
        <is>
          <t>Bilingüe pero con URLs ?p= indexadas en ambos idiomas; slugs mixtos (/es/panama-real-estate/pedasi-bienes-raices/); artículo de precios de 2013 aún posiciona</t>
        </is>
      </c>
      <c r="J16" s="3" t="inlineStr">
        <is>
          <t>Corredora #1 de Pedasí por más de una década; asociados en Bocas, Coronado, El Valle, Boquete; uno de los blogs inmobiliarios más citados</t>
        </is>
      </c>
      <c r="K16" s="3" t="inlineStr">
        <is>
          <t>Son la referencia de Pedasí desde hace una década, pero Google sigue mostrando un artículo de precios de 2013 y URLs con ?p=: su autoridad merece una web que la respalde.</t>
        </is>
      </c>
      <c r="L16" s="6" t="inlineStr">
        <is>
          <t>Pendiente</t>
        </is>
      </c>
      <c r="M16" s="7" t="n"/>
      <c r="N16" s="6" t="n"/>
      <c r="O16" s="6" t="n"/>
      <c r="P16" s="6" t="n"/>
    </row>
    <row r="17" ht="96" customHeight="1">
      <c r="A17" s="3" t="n">
        <v>16</v>
      </c>
      <c r="B17" s="3" t="inlineStr">
        <is>
          <t>Bienes raíces de lujo</t>
        </is>
      </c>
      <c r="C17" s="4" t="inlineStr">
        <is>
          <t>A</t>
        </is>
      </c>
      <c r="D17" s="3" t="inlineStr">
        <is>
          <t>Panama Properties (Ken Norton)</t>
        </is>
      </c>
      <c r="E17" s="5" t="inlineStr">
        <is>
          <t>https://www.panama-properties.com/</t>
        </is>
      </c>
      <c r="F17" s="3" t="inlineStr">
        <is>
          <t>Corredora boutique de Pedasí, Venao, Boquete, Coronado, Bocas (US$179K a US$1.45M)</t>
        </is>
      </c>
      <c r="G17" s="3" t="inlineStr">
        <is>
          <t>Ken Norton (principal)</t>
        </is>
      </c>
      <c r="H17" s="3" t="inlineStr">
        <is>
          <t>WhatsApp +507 6169-2453; agente Evelyn Díaz; sin correo directo</t>
        </is>
      </c>
      <c r="I17" s="3" t="inlineStr">
        <is>
          <t>Slugs SEO kilométricos de plantilla 2010; depende de Encuentra24 y JamesEdition para visibilidad; solo inglés</t>
        </is>
      </c>
      <c r="J17" s="3" t="inlineStr">
        <is>
          <t>Licenciado; listados 2026 activos hasta US$1.45M; posicionamiento expat</t>
        </is>
      </c>
      <c r="K17" s="3" t="inlineStr">
        <is>
          <t>Sus mejores propiedades de Pedasí se ven mejor en Encuentra24 que en su propia web: cada lead de 1.4 millones está pasando por un portal ajeno.</t>
        </is>
      </c>
      <c r="L17" s="6" t="inlineStr">
        <is>
          <t>Pendiente</t>
        </is>
      </c>
      <c r="M17" s="7" t="n"/>
      <c r="N17" s="6" t="n"/>
      <c r="O17" s="6" t="n"/>
      <c r="P17" s="6" t="n"/>
    </row>
    <row r="18" ht="96" customHeight="1">
      <c r="A18" s="3" t="n">
        <v>17</v>
      </c>
      <c r="B18" s="3" t="inlineStr">
        <is>
          <t>Bienes raíces de lujo</t>
        </is>
      </c>
      <c r="C18" s="4" t="inlineStr">
        <is>
          <t>A</t>
        </is>
      </c>
      <c r="D18" s="3" t="inlineStr">
        <is>
          <t>Island Realty Panama (Bocas del Toro)</t>
        </is>
      </c>
      <c r="E18" s="5" t="inlineStr">
        <is>
          <t>https://www.islandrealtypanama.com/</t>
        </is>
      </c>
      <c r="F18" s="3" t="inlineStr">
        <is>
          <t>Casas frente al mar, islas, comercial y alquiler vacacional en Bocas (US$150K a US$2M+)</t>
        </is>
      </c>
      <c r="G18" s="3" t="inlineStr">
        <is>
          <t>Propietario no identificado (verificar)</t>
        </is>
      </c>
      <c r="H18" s="3" t="inlineStr">
        <is>
          <t>info@islandrealtypanama.com (genérico); +507 6913 5378; Calle 2a, Isla Colón</t>
        </is>
      </c>
      <c r="I18" s="3" t="inlineStr">
        <is>
          <t>Presencia propia débil en buscadores; depende del directorio Bocas Breeze</t>
        </is>
      </c>
      <c r="J18" s="3" t="inlineStr">
        <is>
          <t>Desde 1994; corredora independiente original de Bocas; única con licencia y fianza individual en la región</t>
        </is>
      </c>
      <c r="K18" s="3" t="inlineStr">
        <is>
          <t>Treinta años como la corredora original de Bocas y la mayoría de los compradores los encuentra por un directorio local, no por su web.</t>
        </is>
      </c>
      <c r="L18" s="6" t="inlineStr">
        <is>
          <t>Pendiente</t>
        </is>
      </c>
      <c r="M18" s="7" t="n"/>
      <c r="N18" s="6" t="n"/>
      <c r="O18" s="6" t="n"/>
      <c r="P18" s="6" t="n"/>
    </row>
    <row r="19" ht="96" customHeight="1">
      <c r="A19" s="3" t="n">
        <v>18</v>
      </c>
      <c r="B19" s="3" t="inlineStr">
        <is>
          <t>Bienes raíces de lujo</t>
        </is>
      </c>
      <c r="C19" s="8" t="inlineStr">
        <is>
          <t>B</t>
        </is>
      </c>
      <c r="D19" s="3" t="inlineStr">
        <is>
          <t>Grupo Tribaldos</t>
        </is>
      </c>
      <c r="E19" s="5" t="inlineStr">
        <is>
          <t>https://grupotribaldos.com/en/</t>
        </is>
      </c>
      <c r="F19" s="3" t="inlineStr">
        <is>
          <t>Corretaje residencial y comercial: Costa del Este, Punta Pacífica, Santa María, Av. Balboa; asesoría de desarrollo</t>
        </is>
      </c>
      <c r="G19" s="3" t="inlineStr">
        <is>
          <t>Ricardo A. Tribaldos G. (presidente); Luis González (director)</t>
        </is>
      </c>
      <c r="H19" s="3" t="inlineStr">
        <is>
          <t>Tel +507 300-2222; solo contacto genérico; LinkedIn pa.linkedin.com/company/grupotribaldos</t>
        </is>
      </c>
      <c r="I19" s="3" t="inlineStr">
        <is>
          <t>Web probablemente la mejor de la lista: pitch de automatización (enrutamiento de leads a agentes, seguimiento)</t>
        </is>
      </c>
      <c r="J19" s="3" t="inlineStr">
        <is>
          <t>36+ años (desde 1985); Tribaldos #1 líder inmobiliario en Merco Panamá 2024</t>
        </is>
      </c>
      <c r="K19" s="3" t="inlineStr">
        <is>
          <t>Ricardo Tribaldos es el líder inmobiliario con mejor reputación de Panamá según Merco 2024; ¿cuántos de esos leads web hoy esperan horas a que un agente responda?</t>
        </is>
      </c>
      <c r="L19" s="6" t="inlineStr">
        <is>
          <t>Pendiente</t>
        </is>
      </c>
      <c r="M19" s="7" t="n"/>
      <c r="N19" s="6" t="n"/>
      <c r="O19" s="6" t="n"/>
      <c r="P19" s="6" t="n"/>
    </row>
    <row r="20" ht="96" customHeight="1">
      <c r="A20" s="3" t="n">
        <v>19</v>
      </c>
      <c r="B20" s="3" t="inlineStr">
        <is>
          <t>Bienes raíces de lujo</t>
        </is>
      </c>
      <c r="C20" s="8" t="inlineStr">
        <is>
          <t>B</t>
        </is>
      </c>
      <c r="D20" s="3" t="inlineStr">
        <is>
          <t>Panama Home Realty</t>
        </is>
      </c>
      <c r="E20" s="5" t="inlineStr">
        <is>
          <t>https://panamahomerealty.com/</t>
        </is>
      </c>
      <c r="F20" s="3" t="inlineStr">
        <is>
          <t>Reventa y preventa de lujo en Santa María, Punta Pacífica, Costa del Este (US$300K a US$3M)</t>
        </is>
      </c>
      <c r="G20" s="3" t="inlineStr">
        <is>
          <t>Pavlína Srubarová (CEO y fundadora)</t>
        </is>
      </c>
      <c r="H20" s="3" t="inlineStr">
        <is>
          <t>Sin correo directo; licencia PJ-0966-13</t>
        </is>
      </c>
      <c r="I20" s="3" t="inlineStr">
        <is>
          <t>Web moderna y mantenida (guías 2025): pitch de calificación de leads con IA / WhatsApp, no rediseño</t>
        </is>
      </c>
      <c r="J20" s="3" t="inlineStr">
        <is>
          <t>240+ reseñas de 5 estrellas en Google; una década en el mercado de lujo</t>
        </is>
      </c>
      <c r="K20" s="3" t="inlineStr">
        <is>
          <t>Con más de 240 reseñas de 5 estrellas, el cuello de botella ya no es la confianza sino la velocidad de respuesta.</t>
        </is>
      </c>
      <c r="L20" s="6" t="inlineStr">
        <is>
          <t>Pendiente</t>
        </is>
      </c>
      <c r="M20" s="7" t="n"/>
      <c r="N20" s="6" t="n"/>
      <c r="O20" s="6" t="n"/>
      <c r="P20" s="6" t="n"/>
    </row>
    <row r="21" ht="96" customHeight="1">
      <c r="A21" s="3" t="n">
        <v>20</v>
      </c>
      <c r="B21" s="3" t="inlineStr">
        <is>
          <t>Bienes raíces de lujo</t>
        </is>
      </c>
      <c r="C21" s="9" t="inlineStr">
        <is>
          <t>C</t>
        </is>
      </c>
      <c r="D21" s="3" t="inlineStr">
        <is>
          <t>Dekel Holdings</t>
        </is>
      </c>
      <c r="E21" s="3" t="inlineStr">
        <is>
          <t>URL NO CONFIRMADA (verificar)</t>
        </is>
      </c>
      <c r="F21" s="3" t="inlineStr">
        <is>
          <t>Promotora: Blue Venao, Andromeda Pedasí, Los Destiladeros, Casco; 20+ proyectos, 700+ casas (US$150K a US$3M); 3 proyectos de playa nuevos para 2026</t>
        </is>
      </c>
      <c r="G21" s="3" t="inlineStr">
        <is>
          <t>Rafael Museri y Daniel Rudasevski (fundadores, también cofundadores de Selina)</t>
        </is>
      </c>
      <c r="H21" s="3" t="inlineStr">
        <is>
          <t>Sin datos</t>
        </is>
      </c>
      <c r="I21" s="3" t="inlineStr">
        <is>
          <t>Sin evaluar</t>
        </is>
      </c>
      <c r="J21" s="3" t="inlineStr">
        <is>
          <t>Desde 2007; La Prensa anuncia 3 nuevos proyectos de playa 2026</t>
        </is>
      </c>
      <c r="K21" s="3" t="inlineStr">
        <is>
          <t>Están por lanzar tres proyectos de playa y cada uno necesita una web de preventa que venda sola.</t>
        </is>
      </c>
      <c r="L21" s="6" t="inlineStr">
        <is>
          <t>Pendiente</t>
        </is>
      </c>
      <c r="M21" s="7" t="n"/>
      <c r="N21" s="6" t="n"/>
      <c r="O21" s="6" t="n"/>
      <c r="P21" s="6" t="n"/>
    </row>
    <row r="22" ht="96" customHeight="1">
      <c r="A22" s="3" t="n">
        <v>21</v>
      </c>
      <c r="B22" s="3" t="inlineStr">
        <is>
          <t>Clínicas privadas</t>
        </is>
      </c>
      <c r="C22" s="4" t="inlineStr">
        <is>
          <t>A</t>
        </is>
      </c>
      <c r="D22" s="3" t="inlineStr">
        <is>
          <t>Clínica Espino (Dr. José Espino)</t>
        </is>
      </c>
      <c r="E22" s="5" t="inlineStr">
        <is>
          <t>https://drjoseespino.com/</t>
        </is>
      </c>
      <c r="F22" s="3" t="inlineStr">
        <is>
          <t>Cirugía plástica: lifting, mommy makeover, mamoplastia, lipo (US$4K-15K)</t>
        </is>
      </c>
      <c r="G22" s="3" t="inlineStr">
        <is>
          <t>Dr. José Espino</t>
        </is>
      </c>
      <c r="H22" s="3" t="inlineStr">
        <is>
          <t>WhatsApp +507 6612-8102; IG @drjespino (58K) y @clinicaespino (19K); Plaza Pacífica L-7/8</t>
        </is>
      </c>
      <c r="I22" s="3" t="inlineStr">
        <is>
          <t>Solo español; citas solo por WhatsApp/teléfono, sin agenda en línea; horario L-V 9-5</t>
        </is>
      </c>
      <c r="J22" s="3" t="inlineStr">
        <is>
          <t>20+ años; presidente de la APCPER; miembro ASPS/ISAPS; 45 reseñas Google; 77K seguidores combinados</t>
        </is>
      </c>
      <c r="K22" s="3" t="inlineStr">
        <is>
          <t>Con 58 mil seguidores y la presidencia de la APCPER, cada consulta que entra por WhatsApp fuera de horario se queda sin respuesta hasta el día siguiente.</t>
        </is>
      </c>
      <c r="L22" s="6" t="inlineStr">
        <is>
          <t>Pendiente</t>
        </is>
      </c>
      <c r="M22" s="7" t="n"/>
      <c r="N22" s="6" t="n"/>
      <c r="O22" s="6" t="n"/>
      <c r="P22" s="6" t="n"/>
    </row>
    <row r="23" ht="96" customHeight="1">
      <c r="A23" s="3" t="n">
        <v>22</v>
      </c>
      <c r="B23" s="3" t="inlineStr">
        <is>
          <t>Clínicas privadas</t>
        </is>
      </c>
      <c r="C23" s="4" t="inlineStr">
        <is>
          <t>A</t>
        </is>
      </c>
      <c r="D23" s="3" t="inlineStr">
        <is>
          <t>The Clinic (Dr. Lenin Almanza)</t>
        </is>
      </c>
      <c r="E23" s="5" t="inlineStr">
        <is>
          <t>https://cirugiaesteticapanama.com/</t>
        </is>
      </c>
      <c r="F23" s="3" t="inlineStr">
        <is>
          <t>Cirugía plástica: lipo 4D, abdominoplastia, rinoplastia (US$4K-12K); ofrece financiamiento</t>
        </is>
      </c>
      <c r="G23" s="3" t="inlineStr">
        <is>
          <t>Dr. Lenin Almanza</t>
        </is>
      </c>
      <c r="H23" s="3" t="inlineStr">
        <is>
          <t>WhatsApp +507 6981-1194; tel 203-1214; IG @dr.lenin.almanza (56K); San Fernando piso 9</t>
        </is>
      </c>
      <c r="I23" s="3" t="inlineStr">
        <is>
          <t>Galerías en páginas .html antiguas sin SSL conviviendo con WordPress nuevo; solo español; citas por teléfono/WhatsApp</t>
        </is>
      </c>
      <c r="J23" s="3" t="inlineStr">
        <is>
          <t>56K IG; APCPER/CIRPA; clínica propia con horario extendido (L-V 8am-8pm, sáb) = alto volumen</t>
        </is>
      </c>
      <c r="K23" s="3" t="inlineStr">
        <is>
          <t>Sus galerías de resultados siguen en páginas .html sin candado mientras su Instagram supera 56 mil seguidores.</t>
        </is>
      </c>
      <c r="L23" s="6" t="inlineStr">
        <is>
          <t>Pendiente</t>
        </is>
      </c>
      <c r="M23" s="7" t="n"/>
      <c r="N23" s="6" t="n"/>
      <c r="O23" s="6" t="n"/>
      <c r="P23" s="6" t="n"/>
    </row>
    <row r="24" ht="96" customHeight="1">
      <c r="A24" s="3" t="n">
        <v>23</v>
      </c>
      <c r="B24" s="3" t="inlineStr">
        <is>
          <t>Clínicas privadas</t>
        </is>
      </c>
      <c r="C24" s="4" t="inlineStr">
        <is>
          <t>A</t>
        </is>
      </c>
      <c r="D24" s="3" t="inlineStr">
        <is>
          <t>Dr. Edgardo Saavedra</t>
        </is>
      </c>
      <c r="E24" s="5" t="inlineStr">
        <is>
          <t>https://dredgardosaavedra.com/</t>
        </is>
      </c>
      <c r="F24" s="3" t="inlineStr">
        <is>
          <t>Cirugía bariátrica y metabólica (manga, bypass, robótica) US$8K-14K</t>
        </is>
      </c>
      <c r="G24" s="3" t="inlineStr">
        <is>
          <t>Dr. Edgardo Saavedra</t>
        </is>
      </c>
      <c r="H24" s="3" t="inlineStr">
        <is>
          <t>IG @dredgardosaavedra (9.4K); página /cita en la web</t>
        </is>
      </c>
      <c r="I24" s="3" t="inlineStr">
        <is>
          <t>Solo español; página /cita de dudosa funcionalidad; sin inglés para el paciente de turismo médico</t>
        </is>
      </c>
      <c r="J24" s="3" t="inlineStr">
        <is>
          <t>25+ años; pionero bariátrico y robótico en Panamá; en Medical Tourism Magazine</t>
        </is>
      </c>
      <c r="K24" s="3" t="inlineStr">
        <is>
          <t>Aparece en la prensa de turismo médico como referente bariátrico, pero el paciente extranjero que llega a su web no encuentra inglés ni agenda en línea.</t>
        </is>
      </c>
      <c r="L24" s="6" t="inlineStr">
        <is>
          <t>Pendiente</t>
        </is>
      </c>
      <c r="M24" s="7" t="n"/>
      <c r="N24" s="6" t="n"/>
      <c r="O24" s="6" t="n"/>
      <c r="P24" s="6" t="n"/>
    </row>
    <row r="25" ht="96" customHeight="1">
      <c r="A25" s="3" t="n">
        <v>24</v>
      </c>
      <c r="B25" s="3" t="inlineStr">
        <is>
          <t>Clínicas privadas</t>
        </is>
      </c>
      <c r="C25" s="4" t="inlineStr">
        <is>
          <t>A</t>
        </is>
      </c>
      <c r="D25" s="3" t="inlineStr">
        <is>
          <t>GMedSport (Dr. Gerinaldo Martínez)</t>
        </is>
      </c>
      <c r="E25" s="5" t="inlineStr">
        <is>
          <t>https://gmedsport.com.pa/</t>
        </is>
      </c>
      <c r="F25" s="3" t="inlineStr">
        <is>
          <t>Ortopedia deportiva, artroscopia, rodilla (US$5K-10K); grupo de 5+ cirujanos</t>
        </is>
      </c>
      <c r="G25" s="3" t="inlineStr">
        <is>
          <t>Dr. Gerinaldo Martínez (fundador; médico de la Selección Nacional)</t>
        </is>
      </c>
      <c r="H25" s="3" t="inlineStr">
        <is>
          <t>X @gmedsport; LinkedIn; sin correo ni WhatsApp público</t>
        </is>
      </c>
      <c r="I25" s="3" t="inlineStr">
        <is>
          <t>Solo español; sin agenda en línea por médico</t>
        </is>
      </c>
      <c r="J25" s="3" t="inlineStr">
        <is>
          <t>Fundada 2007; médico jefe de la Selección de fútbol y del Ballet Nacional; perfil en Panamá América</t>
        </is>
      </c>
      <c r="K25" s="3" t="inlineStr">
        <is>
          <t>La clínica del médico de la Selección atiende deportistas que necesitan respuesta inmediata tras una lesión; hoy no hay nadie al otro lado del WhatsApp a las 10 de la noche.</t>
        </is>
      </c>
      <c r="L25" s="6" t="inlineStr">
        <is>
          <t>Pendiente</t>
        </is>
      </c>
      <c r="M25" s="7" t="n"/>
      <c r="N25" s="6" t="n"/>
      <c r="O25" s="6" t="n"/>
      <c r="P25" s="6" t="n"/>
    </row>
    <row r="26" ht="96" customHeight="1">
      <c r="A26" s="3" t="n">
        <v>25</v>
      </c>
      <c r="B26" s="3" t="inlineStr">
        <is>
          <t>Clínicas privadas</t>
        </is>
      </c>
      <c r="C26" s="4" t="inlineStr">
        <is>
          <t>A</t>
        </is>
      </c>
      <c r="D26" s="3" t="inlineStr">
        <is>
          <t>Centro Fecundar Panamá (Dr. Raúl Berbey)</t>
        </is>
      </c>
      <c r="E26" s="5" t="inlineStr">
        <is>
          <t>https://centrofecundarpanama.com/</t>
        </is>
      </c>
      <c r="F26" s="3" t="inlineStr">
        <is>
          <t>Fertilidad: FIV, ICSI, inseminación (US$5K-9K por ciclo)</t>
        </is>
      </c>
      <c r="G26" s="3" t="inlineStr">
        <is>
          <t>Dr. Raúl Berbey Vallester (socio fundador y director médico)</t>
        </is>
      </c>
      <c r="H26" s="3" t="inlineStr">
        <is>
          <t>Tel 507 213-1111; Consultorios Padilla 517-518, Av. Balboa; sin IG ni correo público</t>
        </is>
      </c>
      <c r="I26" s="3" t="inlineStr">
        <is>
          <t>Solo español; sin agenda en línea; solo teléfono fijo</t>
        </is>
      </c>
      <c r="J26" s="3" t="inlineStr">
        <is>
          <t>Listado en IVF-Worldwide y health-tourism.com (flujo de pacientes internacionales)</t>
        </is>
      </c>
      <c r="K26" s="3" t="inlineStr">
        <is>
          <t>Sus pacientes de fertilidad consultan de noche y con ansiedad; hoy solo encuentran un número fijo.</t>
        </is>
      </c>
      <c r="L26" s="6" t="inlineStr">
        <is>
          <t>Pendiente</t>
        </is>
      </c>
      <c r="M26" s="7" t="n"/>
      <c r="N26" s="6" t="n"/>
      <c r="O26" s="6" t="n"/>
      <c r="P26" s="6" t="n"/>
    </row>
    <row r="27" ht="96" customHeight="1">
      <c r="A27" s="3" t="n">
        <v>26</v>
      </c>
      <c r="B27" s="3" t="inlineStr">
        <is>
          <t>Clínicas privadas</t>
        </is>
      </c>
      <c r="C27" s="4" t="inlineStr">
        <is>
          <t>A</t>
        </is>
      </c>
      <c r="D27" s="3" t="inlineStr">
        <is>
          <t>OdontoEstética Panamá (Dr. Edgar Morcillo)</t>
        </is>
      </c>
      <c r="E27" s="5" t="inlineStr">
        <is>
          <t>https://odontoestetica.com.pa/</t>
        </is>
      </c>
      <c r="F27" s="3" t="inlineStr">
        <is>
          <t>Implantes, odontología biomimética y estética (implante US$1.2K-2.5K; rehabilitación completa US$10K+)</t>
        </is>
      </c>
      <c r="G27" s="3" t="inlineStr">
        <is>
          <t>Dr. Edgar Morcillo ('Dr. Morci')</t>
        </is>
      </c>
      <c r="H27" s="3" t="inlineStr">
        <is>
          <t>Celular +507 6727-2029; IG @odontoesteticapanama; Consultorios San Fernando Torre Norte</t>
        </is>
      </c>
      <c r="I27" s="3" t="inlineStr">
        <is>
          <t>Toda la agenda entra por un celular; sin reservas en línea</t>
        </is>
      </c>
      <c r="J27" s="3" t="inlineStr">
        <is>
          <t>Posicionamiento premium (biomimética); testimonios fuertes; Instagram activo</t>
        </is>
      </c>
      <c r="K27" s="3" t="inlineStr">
        <is>
          <t>Todo el agendamiento entra por un celular; mientras el doctor está en consulta, nadie contesta.</t>
        </is>
      </c>
      <c r="L27" s="6" t="inlineStr">
        <is>
          <t>Pendiente</t>
        </is>
      </c>
      <c r="M27" s="7" t="n"/>
      <c r="N27" s="6" t="n"/>
      <c r="O27" s="6" t="n"/>
      <c r="P27" s="6" t="n"/>
    </row>
    <row r="28" ht="96" customHeight="1">
      <c r="A28" s="3" t="n">
        <v>27</v>
      </c>
      <c r="B28" s="3" t="inlineStr">
        <is>
          <t>Clínicas privadas</t>
        </is>
      </c>
      <c r="C28" s="8" t="inlineStr">
        <is>
          <t>B</t>
        </is>
      </c>
      <c r="D28" s="3" t="inlineStr">
        <is>
          <t>Clínica Dental Ibarra (Dr. Samuel Ibarra)</t>
        </is>
      </c>
      <c r="E28" s="5" t="inlineStr">
        <is>
          <t>https://clinicadentalibarra.com/</t>
        </is>
      </c>
      <c r="F28" s="3" t="inlineStr">
        <is>
          <t>Implantes, ortodoncia (Invisalign US$3.5K-6K), periodoncia</t>
        </is>
      </c>
      <c r="G28" s="3" t="inlineStr">
        <is>
          <t>Dr. Samuel Ibarra</t>
        </is>
      </c>
      <c r="H28" s="3" t="inlineStr">
        <is>
          <t>info@drsamuelibarra.com (genérico); +507 302-0049; PH Interplus piso 21, Av. Balboa</t>
        </is>
      </c>
      <c r="I28" s="3" t="inlineStr">
        <is>
          <t>Marca partida en dos dominios (clinicadentalibarra.com y drsamuelibarra.com); solo español; citas por teléfono</t>
        </is>
      </c>
      <c r="J28" s="3" t="inlineStr">
        <is>
          <t>Odontólogo desde 2001; posgrado en Bogotá; ubicación premium en Av. Balboa</t>
        </is>
      </c>
      <c r="K28" s="3" t="inlineStr">
        <is>
          <t>Dos sitios web compiten entre sí por su propio nombre y las citas dependen de un teléfono fijo y un correo info@.</t>
        </is>
      </c>
      <c r="L28" s="6" t="inlineStr">
        <is>
          <t>Pendiente</t>
        </is>
      </c>
      <c r="M28" s="7" t="n"/>
      <c r="N28" s="6" t="n"/>
      <c r="O28" s="6" t="n"/>
      <c r="P28" s="6" t="n"/>
    </row>
    <row r="29" ht="96" customHeight="1">
      <c r="A29" s="3" t="n">
        <v>28</v>
      </c>
      <c r="B29" s="3" t="inlineStr">
        <is>
          <t>Clínicas privadas</t>
        </is>
      </c>
      <c r="C29" s="8" t="inlineStr">
        <is>
          <t>B</t>
        </is>
      </c>
      <c r="D29" s="3" t="inlineStr">
        <is>
          <t>DERMEC (Dr. José Miguel Cortés)</t>
        </is>
      </c>
      <c r="E29" s="5" t="inlineStr">
        <is>
          <t>https://dermec.net/</t>
        </is>
      </c>
      <c r="F29" s="3" t="inlineStr">
        <is>
          <t>Cirugía dermatológica (Mohs), cáncer de piel, botox, liftings (US$500-4K)</t>
        </is>
      </c>
      <c r="G29" s="3" t="inlineStr">
        <is>
          <t>Dr. José Miguel Cortés</t>
        </is>
      </c>
      <c r="H29" s="3" t="inlineStr">
        <is>
          <t>dermec@dermec.net; WhatsApp 507 6225-9920; The Panama Clinic piso 23</t>
        </is>
      </c>
      <c r="I29" s="3" t="inlineStr">
        <is>
          <t>Solo español; citas por WhatsApp manual</t>
        </is>
      </c>
      <c r="J29" s="3" t="inlineStr">
        <is>
          <t>Credencial Mohs (rara en Panamá); CILAD/EADV</t>
        </is>
      </c>
      <c r="K29" s="3" t="inlineStr">
        <is>
          <t>Es de los pocos cirujanos de Mohs del país, pero su web está solo en español y las citas entran por WhatsApp manual.</t>
        </is>
      </c>
      <c r="L29" s="6" t="inlineStr">
        <is>
          <t>Pendiente</t>
        </is>
      </c>
      <c r="M29" s="7" t="n"/>
      <c r="N29" s="6" t="n"/>
      <c r="O29" s="6" t="n"/>
      <c r="P29" s="6" t="n"/>
    </row>
    <row r="30" ht="96" customHeight="1">
      <c r="A30" s="3" t="n">
        <v>29</v>
      </c>
      <c r="B30" s="3" t="inlineStr">
        <is>
          <t>Clínicas privadas</t>
        </is>
      </c>
      <c r="C30" s="8" t="inlineStr">
        <is>
          <t>B</t>
        </is>
      </c>
      <c r="D30" s="3" t="inlineStr">
        <is>
          <t>The Hair Clinic (Dr. Teófilo Djemal / The Aesthetic Group)</t>
        </is>
      </c>
      <c r="E30" s="5" t="inlineStr">
        <is>
          <t>https://www.medicinaesteticapanama.com/en/the-hair-clinic/</t>
        </is>
      </c>
      <c r="F30" s="3" t="inlineStr">
        <is>
          <t>Trasplante capilar FUE (US$4K-12K)</t>
        </is>
      </c>
      <c r="G30" s="3" t="inlineStr">
        <is>
          <t>Dr. Teófilo Djemal (fundador The Aesthetic Group)</t>
        </is>
      </c>
      <c r="H30" s="3" t="inlineStr">
        <is>
          <t>Sin correo ni IG público; The Panama Clinic Torre A piso 12</t>
        </is>
      </c>
      <c r="I30" s="3" t="inlineStr">
        <is>
          <t>Sin dominio propio: vive como subpágina de una marca paraguas</t>
        </is>
      </c>
      <c r="J30" s="3" t="inlineStr">
        <is>
          <t>Rankeada entre las mejores clínicas capilares de Panamá; turismo médico</t>
        </is>
      </c>
      <c r="K30" s="3" t="inlineStr">
        <is>
          <t>Una clínica capilar que compite con DHI Panamá no debería vivir como subpágina de otra marca.</t>
        </is>
      </c>
      <c r="L30" s="6" t="inlineStr">
        <is>
          <t>Pendiente</t>
        </is>
      </c>
      <c r="M30" s="7" t="n"/>
      <c r="N30" s="6" t="n"/>
      <c r="O30" s="6" t="n"/>
      <c r="P30" s="6" t="n"/>
    </row>
    <row r="31" ht="96" customHeight="1">
      <c r="A31" s="3" t="n">
        <v>30</v>
      </c>
      <c r="B31" s="3" t="inlineStr">
        <is>
          <t>Clínicas privadas</t>
        </is>
      </c>
      <c r="C31" s="8" t="inlineStr">
        <is>
          <t>B</t>
        </is>
      </c>
      <c r="D31" s="3" t="inlineStr">
        <is>
          <t>Dr. José Samudio</t>
        </is>
      </c>
      <c r="E31" s="5" t="inlineStr">
        <is>
          <t>https://www.drsamudio.com/</t>
        </is>
      </c>
      <c r="F31" s="3" t="inlineStr">
        <is>
          <t>Cirugía plástica y reconstructiva: mama, estética (US$4K-10K)</t>
        </is>
      </c>
      <c r="G31" s="3" t="inlineStr">
        <is>
          <t>Dr. José Miguel Samudio</t>
        </is>
      </c>
      <c r="H31" s="3" t="inlineStr">
        <is>
          <t>WhatsApp +507 6957-1090; IG @dr.samudio (4.9K); The Panama Clinic y San Fernando</t>
        </is>
      </c>
      <c r="I31" s="3" t="inlineStr">
        <is>
          <t>Español; citas por WhatsApp/teléfono; dos sedes, un solo celular</t>
        </is>
      </c>
      <c r="J31" s="3" t="inlineStr">
        <is>
          <t>~10 años como cirujano plástico; dos consultorios</t>
        </is>
      </c>
      <c r="K31" s="3" t="inlineStr">
        <is>
          <t>Dos consultorios y un solo celular para citas: un asistente que agende por sede rendiría más que cualquier campaña.</t>
        </is>
      </c>
      <c r="L31" s="6" t="inlineStr">
        <is>
          <t>Pendiente</t>
        </is>
      </c>
      <c r="M31" s="7" t="n"/>
      <c r="N31" s="6" t="n"/>
      <c r="O31" s="6" t="n"/>
      <c r="P31" s="6" t="n"/>
    </row>
    <row r="32" ht="96" customHeight="1">
      <c r="A32" s="3" t="n">
        <v>31</v>
      </c>
      <c r="B32" s="3" t="inlineStr">
        <is>
          <t>Clínicas privadas</t>
        </is>
      </c>
      <c r="C32" s="9" t="inlineStr">
        <is>
          <t>C</t>
        </is>
      </c>
      <c r="D32" s="3" t="inlineStr">
        <is>
          <t>DermoMédica (Dra. Diana Tejada)</t>
        </is>
      </c>
      <c r="E32" s="5" t="inlineStr">
        <is>
          <t>https://www.dermomedica.com.pa/</t>
        </is>
      </c>
      <c r="F32" s="3" t="inlineStr">
        <is>
          <t>Dermatología clínica y estética, láser, regenerativa (US$300-2K)</t>
        </is>
      </c>
      <c r="G32" s="3" t="inlineStr">
        <is>
          <t>Dra. Diana Tejada</t>
        </is>
      </c>
      <c r="H32" s="3" t="inlineStr">
        <is>
          <t>IG @dermomedicapa (11K)</t>
        </is>
      </c>
      <c r="I32" s="3" t="inlineStr">
        <is>
          <t>Ya bilingüe y moderna: pitch solo de asistente IA / reactivación</t>
        </is>
      </c>
      <c r="J32" s="3" t="inlineStr">
        <is>
          <t>Fundada 2020; 10+ años de experiencia; 11K IG</t>
        </is>
      </c>
      <c r="K32" s="3" t="inlineStr">
        <is>
          <t>Su web ya está en dos idiomas, lo que falta es el canal: un asistente IA que reactive pacientes de mantenimiento cada 3-6 meses.</t>
        </is>
      </c>
      <c r="L32" s="6" t="inlineStr">
        <is>
          <t>Pendiente</t>
        </is>
      </c>
      <c r="M32" s="7" t="n"/>
      <c r="N32" s="6" t="n"/>
      <c r="O32" s="6" t="n"/>
      <c r="P32" s="6" t="n"/>
    </row>
    <row r="33" ht="96" customHeight="1">
      <c r="A33" s="3" t="n">
        <v>32</v>
      </c>
      <c r="B33" s="3" t="inlineStr">
        <is>
          <t>Clínicas privadas</t>
        </is>
      </c>
      <c r="C33" s="9" t="inlineStr">
        <is>
          <t>C</t>
        </is>
      </c>
      <c r="D33" s="3" t="inlineStr">
        <is>
          <t>Dr. Carlos Rebollón</t>
        </is>
      </c>
      <c r="E33" s="5" t="inlineStr">
        <is>
          <t>https://drcarlosrebollon.com/</t>
        </is>
      </c>
      <c r="F33" s="3" t="inlineStr">
        <is>
          <t>Ortopedia de hombro y codo, artroscopia (US$4K-9K)</t>
        </is>
      </c>
      <c r="G33" s="3" t="inlineStr">
        <is>
          <t>Dr. Carlos Rebollón</t>
        </is>
      </c>
      <c r="H33" s="3" t="inlineStr">
        <is>
          <t>The Panama Clinic Torre B piso 23; Centro Ortopédico Nacional</t>
        </is>
      </c>
      <c r="I33" s="3" t="inlineStr">
        <is>
          <t>Bilingüe y estructurada: pitch de coordinación / IA</t>
        </is>
      </c>
      <c r="J33" s="3" t="inlineStr">
        <is>
          <t>5.0 estrellas, 32+ reseñas; dos sedes</t>
        </is>
      </c>
      <c r="K33" s="3" t="inlineStr">
        <is>
          <t>Con 5.0 estrellas y dos consultorios, el cuello de botella es la coordinación.</t>
        </is>
      </c>
      <c r="L33" s="6" t="inlineStr">
        <is>
          <t>Pendiente</t>
        </is>
      </c>
      <c r="M33" s="7" t="n"/>
      <c r="N33" s="6" t="n"/>
      <c r="O33" s="6" t="n"/>
      <c r="P33" s="6" t="n"/>
    </row>
    <row r="34" ht="96" customHeight="1">
      <c r="A34" s="3" t="n">
        <v>33</v>
      </c>
      <c r="B34" s="3" t="inlineStr">
        <is>
          <t>Arquitectura e interiorismo</t>
        </is>
      </c>
      <c r="C34" s="4" t="inlineStr">
        <is>
          <t>A</t>
        </is>
      </c>
      <c r="D34" s="3" t="inlineStr">
        <is>
          <t>ENSITU (Arq. Patrick Dillon)</t>
        </is>
      </c>
      <c r="E34" s="3" t="inlineStr">
        <is>
          <t>SIN WEB (portafolio en archdaily.com / divisare.com / metalocus.es)</t>
        </is>
      </c>
      <c r="F34" s="3" t="inlineStr">
        <is>
          <t>Residencial tropical de autor: Casa Bermingham (Gamboa), Casa en el Copé, Panama Rainforest Discovery Center</t>
        </is>
      </c>
      <c r="G34" s="3" t="inlineStr">
        <is>
          <t>Patrick Dillon (fundador; ex director de diseño Ricardo Bofill París)</t>
        </is>
      </c>
      <c r="H34" s="3" t="inlineStr">
        <is>
          <t>Sin correo público; buscar vía Divisare / Universidad de Panamá</t>
        </is>
      </c>
      <c r="I34" s="3" t="inlineStr">
        <is>
          <t>No tiene web propia; toda la obra vive en plataformas de terceros</t>
        </is>
      </c>
      <c r="J34" s="3" t="inlineStr">
        <is>
          <t>Fundado 1999; publicado en Architectural Record, Domus, Metalocus; monografía de la Universidad de Panamá (2024)</t>
        </is>
      </c>
      <c r="K34" s="3" t="inlineStr">
        <is>
          <t>Su obra está en Architectural Record y Domus, pero no existe una web suya donde un cliente pueda verla completa.</t>
        </is>
      </c>
      <c r="L34" s="6" t="inlineStr">
        <is>
          <t>Pendiente</t>
        </is>
      </c>
      <c r="M34" s="7" t="n"/>
      <c r="N34" s="6" t="n"/>
      <c r="O34" s="6" t="n"/>
      <c r="P34" s="6" t="n"/>
    </row>
    <row r="35" ht="96" customHeight="1">
      <c r="A35" s="3" t="n">
        <v>34</v>
      </c>
      <c r="B35" s="3" t="inlineStr">
        <is>
          <t>Arquitectura e interiorismo</t>
        </is>
      </c>
      <c r="C35" s="4" t="inlineStr">
        <is>
          <t>A</t>
        </is>
      </c>
      <c r="D35" s="3" t="inlineStr">
        <is>
          <t>SUMA Arquitectos</t>
        </is>
      </c>
      <c r="E35" s="3" t="inlineStr">
        <is>
          <t>SIN WEB (perfil en metalocus.es)</t>
        </is>
      </c>
      <c r="F35" s="3" t="inlineStr">
        <is>
          <t>Arquitectura, restauración, urbanismo, paisaje e interiores; pedigrí en el Casco Antiguo</t>
        </is>
      </c>
      <c r="G35" s="3" t="inlineStr">
        <is>
          <t>Dr. Nilson Ariel Espino (fundador; PhD Rice; ex director Oficina del Casco Antiguo)</t>
        </is>
      </c>
      <c r="H35" s="3" t="inlineStr">
        <is>
          <t>Sin correo público; perfil Aspen Institute</t>
        </is>
      </c>
      <c r="I35" s="3" t="inlineStr">
        <is>
          <t>No tiene web propia</t>
        </is>
      </c>
      <c r="J35" s="3" t="inlineStr">
        <is>
          <t>Fundado 2004; clientes institucionales y privados; autor publicado en Routledge; adjunto en McGill</t>
        </is>
      </c>
      <c r="K35" s="3" t="inlineStr">
        <is>
          <t>Con su trayectoria en el Casco Antiguo, su estudio merece una presencia digital a la altura.</t>
        </is>
      </c>
      <c r="L35" s="6" t="inlineStr">
        <is>
          <t>Pendiente</t>
        </is>
      </c>
      <c r="M35" s="7" t="n"/>
      <c r="N35" s="6" t="n"/>
      <c r="O35" s="6" t="n"/>
      <c r="P35" s="6" t="n"/>
    </row>
    <row r="36" ht="96" customHeight="1">
      <c r="A36" s="3" t="n">
        <v>35</v>
      </c>
      <c r="B36" s="3" t="inlineStr">
        <is>
          <t>Arquitectura e interiorismo</t>
        </is>
      </c>
      <c r="C36" s="4" t="inlineStr">
        <is>
          <t>A</t>
        </is>
      </c>
      <c r="D36" s="3" t="inlineStr">
        <is>
          <t>PIEKNO Studio (antes AN-NA Studio)</t>
        </is>
      </c>
      <c r="E36" s="5" t="inlineStr">
        <is>
          <t>https://studiodearquitectura.com/</t>
        </is>
      </c>
      <c r="F36" s="3" t="inlineStr">
        <is>
          <t>Arquitectura boutique e interiores de lujo: Japandi Apartment PTY (2025), apartamento Upper East en Costa del Este</t>
        </is>
      </c>
      <c r="G36" s="3" t="inlineStr">
        <is>
          <t>Arq. Anna Faligowska</t>
        </is>
      </c>
      <c r="H36" s="3" t="inlineStr">
        <is>
          <t>LinkedIn pa.linkedin.com/in/annafaligowska; correo probablemente info@</t>
        </is>
      </c>
      <c r="I36" s="3" t="inlineStr">
        <is>
          <t>Dominio genérico que no lleva la marca; rebrand (AN-NA a PIEKNO) no reflejado en la web; bilingüe</t>
        </is>
      </c>
      <c r="J36" s="3" t="inlineStr">
        <is>
          <t>Clientela de lujo en Costa del Este; proyecto 2025 publicado; prensa internacional (HomeAdore)</t>
        </is>
      </c>
      <c r="K36" s="3" t="inlineStr">
        <is>
          <t>Su marca es PIEKNO, pero su dominio dice 'studiodearquitectura': la web no cuenta quién es usted.</t>
        </is>
      </c>
      <c r="L36" s="6" t="inlineStr">
        <is>
          <t>Pendiente</t>
        </is>
      </c>
      <c r="M36" s="7" t="n"/>
      <c r="N36" s="6" t="n"/>
      <c r="O36" s="6" t="n"/>
      <c r="P36" s="6" t="n"/>
    </row>
    <row r="37" ht="96" customHeight="1">
      <c r="A37" s="3" t="n">
        <v>36</v>
      </c>
      <c r="B37" s="3" t="inlineStr">
        <is>
          <t>Arquitectura e interiorismo</t>
        </is>
      </c>
      <c r="C37" s="4" t="inlineStr">
        <is>
          <t>A</t>
        </is>
      </c>
      <c r="D37" s="3" t="inlineStr">
        <is>
          <t>Fémur Arquitectura</t>
        </is>
      </c>
      <c r="E37" s="5" t="inlineStr">
        <is>
          <t>http://femurstudio.com/</t>
        </is>
      </c>
      <c r="F37" s="3" t="inlineStr">
        <is>
          <t>Torres residenciales y casas: PH Midtown (ArchDaily), PH Caleta, Casa do Forno</t>
        </is>
      </c>
      <c r="G37" s="3" t="inlineStr">
        <is>
          <t>Principal no identificado (verificar)</t>
        </is>
      </c>
      <c r="H37" s="3" t="inlineStr">
        <is>
          <t>Sin correo público; Calle 74 San Francisco, Midtown 1001</t>
        </is>
      </c>
      <c r="I37" s="3" t="inlineStr">
        <is>
          <t>Dominio listado sin SSL (http); cero páginas indexadas en Google = web muerta o SEO nulo</t>
        </is>
      </c>
      <c r="J37" s="3" t="inlineStr">
        <is>
          <t>Desde 2001; 10+ empleados; publicados en ArchDaily y Divisare; premios y exposiciones internacionales</t>
        </is>
      </c>
      <c r="K37" s="3" t="inlineStr">
        <is>
          <t>Veinticuatro años de obra publicada en ArchDaily y su web ni siquiera aparece en Google.</t>
        </is>
      </c>
      <c r="L37" s="6" t="inlineStr">
        <is>
          <t>Pendiente</t>
        </is>
      </c>
      <c r="M37" s="7" t="n"/>
      <c r="N37" s="6" t="n"/>
      <c r="O37" s="6" t="n"/>
      <c r="P37" s="6" t="n"/>
    </row>
    <row r="38" ht="96" customHeight="1">
      <c r="A38" s="3" t="n">
        <v>37</v>
      </c>
      <c r="B38" s="3" t="inlineStr">
        <is>
          <t>Arquitectura e interiorismo</t>
        </is>
      </c>
      <c r="C38" s="4" t="inlineStr">
        <is>
          <t>A</t>
        </is>
      </c>
      <c r="D38" s="3" t="inlineStr">
        <is>
          <t>PS Design (Pilar Sinclair)</t>
        </is>
      </c>
      <c r="E38" s="5" t="inlineStr">
        <is>
          <t>https://www.pilarsinclair.com/pag/sobre-mi</t>
        </is>
      </c>
      <c r="F38" s="3" t="inlineStr">
        <is>
          <t>Interiores para promotoras: apartamentos modelo, lobbies residenciales, áreas sociales</t>
        </is>
      </c>
      <c r="G38" s="3" t="inlineStr">
        <is>
          <t>Pilar Sinclair (fundadora)</t>
        </is>
      </c>
      <c r="H38" s="3" t="inlineStr">
        <is>
          <t>Sin correo público</t>
        </is>
      </c>
      <c r="I38" s="3" t="inlineStr">
        <is>
          <t>CMS legado (URLs /pag/); solo español; invisible en buscadores</t>
        </is>
      </c>
      <c r="J38" s="3" t="inlineStr">
        <is>
          <t>Desde 2009; clientes B2B recurrentes (promotoras) = trabajo de alto valor repetido</t>
        </is>
      </c>
      <c r="K38" s="3" t="inlineStr">
        <is>
          <t>Diseña lobbies de lujo para promotoras y su propia web no refleja ese nivel.</t>
        </is>
      </c>
      <c r="L38" s="6" t="inlineStr">
        <is>
          <t>Pendiente</t>
        </is>
      </c>
      <c r="M38" s="7" t="n"/>
      <c r="N38" s="6" t="n"/>
      <c r="O38" s="6" t="n"/>
      <c r="P38" s="6" t="n"/>
    </row>
    <row r="39" ht="96" customHeight="1">
      <c r="A39" s="3" t="n">
        <v>38</v>
      </c>
      <c r="B39" s="3" t="inlineStr">
        <is>
          <t>Arquitectura e interiorismo</t>
        </is>
      </c>
      <c r="C39" s="4" t="inlineStr">
        <is>
          <t>A</t>
        </is>
      </c>
      <c r="D39" s="3" t="inlineStr">
        <is>
          <t>Cambefort &amp; Boza Arquitectos</t>
        </is>
      </c>
      <c r="E39" s="3" t="inlineStr">
        <is>
          <t>SIN WEB (perfil en metalocus.es / arqa.com)</t>
        </is>
      </c>
      <c r="F39" s="3" t="inlineStr">
        <is>
          <t>Residencial, comercial, institucional, turismo: Casa Verde (Obra Excelsa del Año 2009), Canopy Camp Darién</t>
        </is>
      </c>
      <c r="G39" s="3" t="inlineStr">
        <is>
          <t>Diego J. Cambefort S. y Pablo Cambefort</t>
        </is>
      </c>
      <c r="H39" s="3" t="inlineStr">
        <is>
          <t>Sin correo público</t>
        </is>
      </c>
      <c r="I39" s="3" t="inlineStr">
        <is>
          <t>No tiene web propia</t>
        </is>
      </c>
      <c r="J39" s="3" t="inlineStr">
        <is>
          <t>Premio nacional; ArchDaily; prensa en Panamá América</t>
        </is>
      </c>
      <c r="K39" s="3" t="inlineStr">
        <is>
          <t>Ganaron la Obra Excelsa del Año y hoy un cliente no encuentra dónde ver su portafolio.</t>
        </is>
      </c>
      <c r="L39" s="6" t="inlineStr">
        <is>
          <t>Pendiente</t>
        </is>
      </c>
      <c r="M39" s="7" t="n"/>
      <c r="N39" s="6" t="n"/>
      <c r="O39" s="6" t="n"/>
      <c r="P39" s="6" t="n"/>
    </row>
    <row r="40" ht="96" customHeight="1">
      <c r="A40" s="3" t="n">
        <v>39</v>
      </c>
      <c r="B40" s="3" t="inlineStr">
        <is>
          <t>Arquitectura e interiorismo</t>
        </is>
      </c>
      <c r="C40" s="8" t="inlineStr">
        <is>
          <t>B</t>
        </is>
      </c>
      <c r="D40" s="3" t="inlineStr">
        <is>
          <t>Teran Arquitectura + Interiores</t>
        </is>
      </c>
      <c r="E40" s="5" t="inlineStr">
        <is>
          <t>https://teranarq.com/</t>
        </is>
      </c>
      <c r="F40" s="3" t="inlineStr">
        <is>
          <t>Arquitectura e interiores residencial, comercial y corporativo; diseño hasta construcción</t>
        </is>
      </c>
      <c r="G40" s="3" t="inlineStr">
        <is>
          <t>Arq. Ernesto Terán (fundador)</t>
        </is>
      </c>
      <c r="H40" s="3" t="inlineStr">
        <is>
          <t>Sin correo directo público</t>
        </is>
      </c>
      <c r="I40" s="3" t="inlineStr">
        <is>
          <t>Solo español; blog de listados SEO en vez de portafolio protagonista; WordPress</t>
        </is>
      </c>
      <c r="J40" s="3" t="inlineStr">
        <is>
          <t>Servicio integral diseño + construcción (ticket alto); posiciona en búsquedas de interiorismo</t>
        </is>
      </c>
      <c r="K40" s="3" t="inlineStr">
        <is>
          <t>Su web atrae tráfico con blogs, pero no convierte: el portafolio no es el protagonista.</t>
        </is>
      </c>
      <c r="L40" s="6" t="inlineStr">
        <is>
          <t>Pendiente</t>
        </is>
      </c>
      <c r="M40" s="7" t="n"/>
      <c r="N40" s="6" t="n"/>
      <c r="O40" s="6" t="n"/>
      <c r="P40" s="6" t="n"/>
    </row>
    <row r="41" ht="96" customHeight="1">
      <c r="A41" s="3" t="n">
        <v>40</v>
      </c>
      <c r="B41" s="3" t="inlineStr">
        <is>
          <t>Arquitectura e interiorismo</t>
        </is>
      </c>
      <c r="C41" s="8" t="inlineStr">
        <is>
          <t>B</t>
        </is>
      </c>
      <c r="D41" s="3" t="inlineStr">
        <is>
          <t>Sara Battelli &amp; Co / Bioharmonized Design Studio</t>
        </is>
      </c>
      <c r="E41" s="3" t="inlineStr">
        <is>
          <t>WEB NO CONFIRMADA (perfiles en Galerie Magazine, Domkapa)</t>
        </is>
      </c>
      <c r="F41" s="3" t="inlineStr">
        <is>
          <t>Residencial de lujo y restauración histórica: edificio en Casco Viejo, primera casa sostenible con norma suiza en Panamá</t>
        </is>
      </c>
      <c r="G41" s="3" t="inlineStr">
        <is>
          <t>Sara Battelli (fundadora)</t>
        </is>
      </c>
      <c r="H41" s="3" t="inlineStr">
        <is>
          <t>Sin correo público</t>
        </is>
      </c>
      <c r="I41" s="3" t="inlineStr">
        <is>
          <t>Marca dividida en dos nombres sin sitio canónico claro</t>
        </is>
      </c>
      <c r="J41" s="3" t="inlineStr">
        <is>
          <t>Galerie Magazine, blog de Sotheby's Realty, premio de restauración (Arco Properties); clientes internacionales</t>
        </is>
      </c>
      <c r="K41" s="3" t="inlineStr">
        <is>
          <t>Su trabajo sale en Galerie Magazine; su presencia digital está repartida y sin un sitio propio claro.</t>
        </is>
      </c>
      <c r="L41" s="6" t="inlineStr">
        <is>
          <t>Pendiente</t>
        </is>
      </c>
      <c r="M41" s="7" t="n"/>
      <c r="N41" s="6" t="n"/>
      <c r="O41" s="6" t="n"/>
      <c r="P41" s="6" t="n"/>
    </row>
    <row r="42" ht="96" customHeight="1">
      <c r="A42" s="3" t="n">
        <v>41</v>
      </c>
      <c r="B42" s="3" t="inlineStr">
        <is>
          <t>Arquitectura e interiorismo</t>
        </is>
      </c>
      <c r="C42" s="8" t="inlineStr">
        <is>
          <t>B</t>
        </is>
      </c>
      <c r="D42" s="3" t="inlineStr">
        <is>
          <t>SKETCH (Arq. Johann Wolfschoon)</t>
        </is>
      </c>
      <c r="E42" s="3" t="inlineStr">
        <is>
          <t>URL NO CONFIRMADA (verificar)</t>
        </is>
      </c>
      <c r="F42" s="3" t="inlineStr">
        <is>
          <t>Arquitectura y diseño multidisciplinar: STEPS Dance Academy, DiabloRosso Gallery, La Moderna</t>
        </is>
      </c>
      <c r="G42" s="3" t="inlineStr">
        <is>
          <t>Johann Wolfschoon (fundador, 2006)</t>
        </is>
      </c>
      <c r="H42" s="3" t="inlineStr">
        <is>
          <t>Sin correo público</t>
        </is>
      </c>
      <c r="I42" s="3" t="inlineStr">
        <is>
          <t>Desconocida (verificar)</t>
        </is>
      </c>
      <c r="J42" s="3" t="inlineStr">
        <is>
          <t>ArchDaily 'Renovating Panama'; único estudio latinoamericano en la Bienal de Arquitectura de Chicago</t>
        </is>
      </c>
      <c r="K42" s="3" t="inlineStr">
        <is>
          <t>Son el único estudio latinoamericano en la Bienal de Chicago; su web debería contarlo en tres segundos.</t>
        </is>
      </c>
      <c r="L42" s="6" t="inlineStr">
        <is>
          <t>Pendiente</t>
        </is>
      </c>
      <c r="M42" s="7" t="n"/>
      <c r="N42" s="6" t="n"/>
      <c r="O42" s="6" t="n"/>
      <c r="P42" s="6" t="n"/>
    </row>
    <row r="43" ht="96" customHeight="1">
      <c r="A43" s="3" t="n">
        <v>42</v>
      </c>
      <c r="B43" s="3" t="inlineStr">
        <is>
          <t>Arquitectura e interiorismo</t>
        </is>
      </c>
      <c r="C43" s="9" t="inlineStr">
        <is>
          <t>C</t>
        </is>
      </c>
      <c r="D43" s="3" t="inlineStr">
        <is>
          <t>Love Design Panama</t>
        </is>
      </c>
      <c r="E43" s="5" t="inlineStr">
        <is>
          <t>https://www.lovedesignpanama.com/</t>
        </is>
      </c>
      <c r="F43" s="3" t="inlineStr">
        <is>
          <t>Interiores residenciales, diseño de iluminación, acabados de alta gama</t>
        </is>
      </c>
      <c r="G43" s="3" t="inlineStr">
        <is>
          <t>Jenny Ramona (CEO y fundadora)</t>
        </is>
      </c>
      <c r="H43" s="3" t="inlineStr">
        <is>
          <t>Sin correo directo público</t>
        </is>
      </c>
      <c r="I43" s="3" t="inlineStr">
        <is>
          <t>Sin evaluar (verificar)</t>
        </is>
      </c>
      <c r="J43" s="3" t="inlineStr">
        <is>
          <t>Destacada en Domkapa 'best interior designers Panama' y blog de Santa María</t>
        </is>
      </c>
      <c r="K43" s="3" t="inlineStr">
        <is>
          <t>La luz es su firma; su web debería sentirse igual de cuidada.</t>
        </is>
      </c>
      <c r="L43" s="6" t="inlineStr">
        <is>
          <t>Pendiente</t>
        </is>
      </c>
      <c r="M43" s="7" t="n"/>
      <c r="N43" s="6" t="n"/>
      <c r="O43" s="6" t="n"/>
      <c r="P43" s="6" t="n"/>
    </row>
    <row r="44" ht="96" customHeight="1">
      <c r="A44" s="3" t="n">
        <v>43</v>
      </c>
      <c r="B44" s="3" t="inlineStr">
        <is>
          <t>Gestión patrimonial y fiduciarias</t>
        </is>
      </c>
      <c r="C44" s="4" t="inlineStr">
        <is>
          <t>A</t>
        </is>
      </c>
      <c r="D44" s="3" t="inlineStr">
        <is>
          <t>sQuadra Multi Family Office</t>
        </is>
      </c>
      <c r="E44" s="5" t="inlineStr">
        <is>
          <t>https://www.squadramfo.com/</t>
        </is>
      </c>
      <c r="F44" s="3" t="inlineStr">
        <is>
          <t>Multi family office independiente: inversiones, planificación patrimonial y fiscal para familias HNW de LatAm</t>
        </is>
      </c>
      <c r="G44" s="3" t="inlineStr">
        <is>
          <t>Cristóbal Botanch Martí (fundador, CEO y CIO)</t>
        </is>
      </c>
      <c r="H44" s="3" t="inlineStr">
        <is>
          <t>Sin correo directo; (507) 630-1261 / 388-6836; Evolution Tower of. 3909</t>
        </is>
      </c>
      <c r="I44" s="3" t="inlineStr">
        <is>
          <t>PHP a medida con parámetros base64 en las URLs; cambio de idioma por parámetro; arquitectura pre-2015, SEO y móvil probablemente pobres</t>
        </is>
      </c>
      <c r="J44" s="3" t="inlineStr">
        <is>
          <t>Licencia SMV Res. 580-2015; equipo CFA/CAIA con carrera en Suiza, UK, España y Andorra; en PitchBook</t>
        </is>
      </c>
      <c r="K44" s="3" t="inlineStr">
        <is>
          <t>Gestionan patrimonios de familias con estándares suizos, pero su web todavía habla PHP de 2012.</t>
        </is>
      </c>
      <c r="L44" s="6" t="inlineStr">
        <is>
          <t>Pendiente</t>
        </is>
      </c>
      <c r="M44" s="7" t="n"/>
      <c r="N44" s="6" t="n"/>
      <c r="O44" s="6" t="n"/>
      <c r="P44" s="6" t="n"/>
    </row>
    <row r="45" ht="96" customHeight="1">
      <c r="A45" s="3" t="n">
        <v>44</v>
      </c>
      <c r="B45" s="3" t="inlineStr">
        <is>
          <t>Gestión patrimonial y fiduciarias</t>
        </is>
      </c>
      <c r="C45" s="4" t="inlineStr">
        <is>
          <t>A</t>
        </is>
      </c>
      <c r="D45" s="3" t="inlineStr">
        <is>
          <t>Geneva Asset Management</t>
        </is>
      </c>
      <c r="E45" s="5" t="inlineStr">
        <is>
          <t>https://www.genasset.com/</t>
        </is>
      </c>
      <c r="F45" s="3" t="inlineStr">
        <is>
          <t>Casa de valores independiente desde 1999; corretaje y gestión de carteras HNW; custodia Pershing/BNY Mellon</t>
        </is>
      </c>
      <c r="G45" s="3" t="inlineStr">
        <is>
          <t>Socios restantes (cofundador Javier Martínez-Acha es hoy Canciller); ver página 'Directiva y Fundadores'</t>
        </is>
      </c>
      <c r="H45" s="3" t="inlineStr">
        <is>
          <t>Sin correo público; Torre Global Bank piso 25</t>
        </is>
      </c>
      <c r="I45" s="3" t="inlineStr">
        <is>
          <t>URLs tipo Joomla (index.php/about-us/); indexada en http = CMS antiguo, posibles problemas de SSL</t>
        </is>
      </c>
      <c r="J45" s="3" t="inlineStr">
        <is>
          <t>Licencia SMV 2001; 25+ años; miembro de la Bolsa de Valores de Panamá</t>
        </is>
      </c>
      <c r="K45" s="3" t="inlineStr">
        <is>
          <t>Veinticinco años de trayectoria y una web que todavía corre en index.php: la confianza merece una vitrina a la altura.</t>
        </is>
      </c>
      <c r="L45" s="6" t="inlineStr">
        <is>
          <t>Pendiente</t>
        </is>
      </c>
      <c r="M45" s="7" t="n"/>
      <c r="N45" s="6" t="n"/>
      <c r="O45" s="6" t="n"/>
      <c r="P45" s="6" t="n"/>
    </row>
    <row r="46" ht="96" customHeight="1">
      <c r="A46" s="3" t="n">
        <v>45</v>
      </c>
      <c r="B46" s="3" t="inlineStr">
        <is>
          <t>Gestión patrimonial y fiduciarias</t>
        </is>
      </c>
      <c r="C46" s="4" t="inlineStr">
        <is>
          <t>A</t>
        </is>
      </c>
      <c r="D46" s="3" t="inlineStr">
        <is>
          <t>Miura Capital Panamá</t>
        </is>
      </c>
      <c r="E46" s="5" t="inlineStr">
        <is>
          <t>https://www.miuracapital.com.pa/</t>
        </is>
      </c>
      <c r="F46" s="3" t="inlineStr">
        <is>
          <t>Casa de valores: servicios de inversión para instituciones e individuos HNW</t>
        </is>
      </c>
      <c r="G46" s="3" t="inlineStr">
        <is>
          <t>Mauro Díaz (CEO)</t>
        </is>
      </c>
      <c r="H46" s="3" t="inlineStr">
        <is>
          <t>Sin correo directo público</t>
        </is>
      </c>
      <c r="I46" s="3" t="inlineStr">
        <is>
          <t>WordPress con permalinks por defecto (/?page_id=71): nunca configurado, plantilla genérica</t>
        </is>
      </c>
      <c r="J46" s="3" t="inlineStr">
        <is>
          <t>Licencia SMV Res. 373-08; miembro BVP; 17 años operando</t>
        </is>
      </c>
      <c r="K46" s="3" t="inlineStr">
        <is>
          <t>Una casa de valores con 17 años en la Bolsa de Panamá no debería tener páginas llamadas page_id=71.</t>
        </is>
      </c>
      <c r="L46" s="6" t="inlineStr">
        <is>
          <t>Pendiente</t>
        </is>
      </c>
      <c r="M46" s="7" t="n"/>
      <c r="N46" s="6" t="n"/>
      <c r="O46" s="6" t="n"/>
      <c r="P46" s="6" t="n"/>
    </row>
    <row r="47" ht="96" customHeight="1">
      <c r="A47" s="3" t="n">
        <v>46</v>
      </c>
      <c r="B47" s="3" t="inlineStr">
        <is>
          <t>Gestión patrimonial y fiduciarias</t>
        </is>
      </c>
      <c r="C47" s="4" t="inlineStr">
        <is>
          <t>A</t>
        </is>
      </c>
      <c r="D47" s="3" t="inlineStr">
        <is>
          <t>Westwood Capital Markets</t>
        </is>
      </c>
      <c r="E47" s="5" t="inlineStr">
        <is>
          <t>http://www.westwood.com.pa/</t>
        </is>
      </c>
      <c r="F47" s="3" t="inlineStr">
        <is>
          <t>Casa de valores: corretaje y gestión de carteras para clientes privados</t>
        </is>
      </c>
      <c r="G47" s="3" t="inlineStr">
        <is>
          <t>Carlos Eduardo Ortega (LinkedIn); directiva no pública</t>
        </is>
      </c>
      <c r="H47" s="3" t="inlineStr">
        <is>
          <t>info@westwood.com.pa (genérico); Edif. Credicorp Bank piso 27</t>
        </is>
      </c>
      <c r="I47" s="3" t="inlineStr">
        <is>
          <t>Solo indexada en http (sin SSL o sin redirección); título en mayúsculas; casi sin contenido</t>
        </is>
      </c>
      <c r="J47" s="3" t="inlineStr">
        <is>
          <t>Licencia CNV 155-07 (2007); 18 años regulados</t>
        </is>
      </c>
      <c r="K47" s="3" t="inlineStr">
        <is>
          <t>Dieciocho años regulados por la SMV y una web sin candado: hoy el cliente lo nota antes que el regulador.</t>
        </is>
      </c>
      <c r="L47" s="6" t="inlineStr">
        <is>
          <t>Pendiente</t>
        </is>
      </c>
      <c r="M47" s="7" t="n"/>
      <c r="N47" s="6" t="n"/>
      <c r="O47" s="6" t="n"/>
      <c r="P47" s="6" t="n"/>
    </row>
    <row r="48" ht="96" customHeight="1">
      <c r="A48" s="3" t="n">
        <v>47</v>
      </c>
      <c r="B48" s="3" t="inlineStr">
        <is>
          <t>Gestión patrimonial y fiduciarias</t>
        </is>
      </c>
      <c r="C48" s="4" t="inlineStr">
        <is>
          <t>A</t>
        </is>
      </c>
      <c r="D48" s="3" t="inlineStr">
        <is>
          <t>Pramadex Corporation Panamá (ex Aegis Asset Advisors)</t>
        </is>
      </c>
      <c r="E48" s="5" t="inlineStr">
        <is>
          <t>https://pramadexcorp.com/en/</t>
        </is>
      </c>
      <c r="F48" s="3" t="inlineStr">
        <is>
          <t>Gestión de activos y asesoría family office para familias de LatAm; filial de Pramadex Genève</t>
        </is>
      </c>
      <c r="G48" s="3" t="inlineStr">
        <is>
          <t>Yan Demaurex (chairman); Jorge Hernández (director general Panamá)</t>
        </is>
      </c>
      <c r="H48" s="3" t="inlineStr">
        <is>
          <t>Sin correo directo público</t>
        </is>
      </c>
      <c r="I48" s="3" t="inlineStr">
        <is>
          <t>Tres webs solapadas (pramadexcorp.com, consultoriapadex.com, aaapanama.com en .html estático)</t>
        </is>
      </c>
      <c r="J48" s="3" t="inlineStr">
        <is>
          <t>Licencia SMV Res. 253-2014; matriz regulada en Suiza; 50+ años de experiencia combinada</t>
        </is>
      </c>
      <c r="K48" s="3" t="inlineStr">
        <is>
          <t>Tres webs para una sola firma diluyen la marca; un patrimonio familiar se cuida con una sola puerta de entrada.</t>
        </is>
      </c>
      <c r="L48" s="6" t="inlineStr">
        <is>
          <t>Pendiente</t>
        </is>
      </c>
      <c r="M48" s="7" t="n"/>
      <c r="N48" s="6" t="n"/>
      <c r="O48" s="6" t="n"/>
      <c r="P48" s="6" t="n"/>
    </row>
    <row r="49" ht="96" customHeight="1">
      <c r="A49" s="3" t="n">
        <v>48</v>
      </c>
      <c r="B49" s="3" t="inlineStr">
        <is>
          <t>Gestión patrimonial y fiduciarias</t>
        </is>
      </c>
      <c r="C49" s="4" t="inlineStr">
        <is>
          <t>A</t>
        </is>
      </c>
      <c r="D49" s="3" t="inlineStr">
        <is>
          <t>Gesti Project</t>
        </is>
      </c>
      <c r="E49" s="5" t="inlineStr">
        <is>
          <t>https://gestiproject.com/</t>
        </is>
      </c>
      <c r="F49" s="3" t="inlineStr">
        <is>
          <t>Asesor de inversión independiente: carteras para familias HNW, estilo banca privada suiza</t>
        </is>
      </c>
      <c r="G49" s="3" t="inlineStr">
        <is>
          <t>Marcel Oswald, CFA (director y ejecutivo principal)</t>
        </is>
      </c>
      <c r="H49" s="3" t="inlineStr">
        <is>
          <t>Sin correo directo público; Calle 56 Este, Obarrio</t>
        </is>
      </c>
      <c r="I49" s="3" t="inlineStr">
        <is>
          <t>Título 'Bienvenidos a GESTI PROJECT, S.A.': plantilla genérica, contenido escaso</t>
        </is>
      </c>
      <c r="J49" s="3" t="inlineStr">
        <is>
          <t>Licencia SMV Res. 811-15; principal con 25+ años, Univ. St. Gallen</t>
        </is>
      </c>
      <c r="K49" s="3" t="inlineStr">
        <is>
          <t>Un CFA formado en St. Gallen merece algo mejor que un 'Bienvenidos a…' como primera impresión digital.</t>
        </is>
      </c>
      <c r="L49" s="6" t="inlineStr">
        <is>
          <t>Pendiente</t>
        </is>
      </c>
      <c r="M49" s="7" t="n"/>
      <c r="N49" s="6" t="n"/>
      <c r="O49" s="6" t="n"/>
      <c r="P49" s="6" t="n"/>
    </row>
    <row r="50" ht="96" customHeight="1">
      <c r="A50" s="3" t="n">
        <v>49</v>
      </c>
      <c r="B50" s="3" t="inlineStr">
        <is>
          <t>Gestión patrimonial y fiduciarias</t>
        </is>
      </c>
      <c r="C50" s="4" t="inlineStr">
        <is>
          <t>A</t>
        </is>
      </c>
      <c r="D50" s="3" t="inlineStr">
        <is>
          <t>FIM Trust</t>
        </is>
      </c>
      <c r="E50" s="5" t="inlineStr">
        <is>
          <t>https://fimtrust.com.pa/</t>
        </is>
      </c>
      <c r="F50" s="3" t="inlineStr">
        <is>
          <t>Fiduciaria licenciada: fideicomisos de garantía y patrimoniales, estructuración de activos</t>
        </is>
      </c>
      <c r="G50" s="3" t="inlineStr">
        <is>
          <t>Danaise Batista Pérez (gerente general)</t>
        </is>
      </c>
      <c r="H50" s="3" t="inlineStr">
        <is>
          <t>dbatista@fimtrust.com.pa (DIRECTO); BMW Plaza piso 9, Calle 50</t>
        </is>
      </c>
      <c r="I50" s="3" t="inlineStr">
        <is>
          <t>WordPress sin configurar (título 'FIM TRUST |'); orientada solo al español</t>
        </is>
      </c>
      <c r="J50" s="3" t="inlineStr">
        <is>
          <t>Fiduciaria desde 2005; licencia SBP; una de ~55 fiduciarias licenciadas</t>
        </is>
      </c>
      <c r="K50" s="3" t="inlineStr">
        <is>
          <t>En fideicomisos el detalle es todo, y el título de su web termina en una barra vacía.</t>
        </is>
      </c>
      <c r="L50" s="6" t="inlineStr">
        <is>
          <t>Pendiente</t>
        </is>
      </c>
      <c r="M50" s="7" t="n"/>
      <c r="N50" s="6" t="n"/>
      <c r="O50" s="6" t="n"/>
      <c r="P50" s="6" t="n"/>
    </row>
    <row r="51" ht="96" customHeight="1">
      <c r="A51" s="3" t="n">
        <v>50</v>
      </c>
      <c r="B51" s="3" t="inlineStr">
        <is>
          <t>Gestión patrimonial y fiduciarias</t>
        </is>
      </c>
      <c r="C51" s="8" t="inlineStr">
        <is>
          <t>B</t>
        </is>
      </c>
      <c r="D51" s="3" t="inlineStr">
        <is>
          <t>Trusted Advisors Group</t>
        </is>
      </c>
      <c r="E51" s="5" t="inlineStr">
        <is>
          <t>https://tadvisorsgroup.com/en/</t>
        </is>
      </c>
      <c r="F51" s="3" t="inlineStr">
        <is>
          <t>Asesoría patrimonial boutique: planificación financiera, protección de activos</t>
        </is>
      </c>
      <c r="G51" s="3" t="inlineStr">
        <is>
          <t>Charles Morris García (principal); Alex Caballero y Kristian Kwiecinski (directores)</t>
        </is>
      </c>
      <c r="H51" s="3" t="inlineStr">
        <is>
          <t>info@trustedadvisorspty.com (genérico; dominio distinto al de la web); Times Square Center piso 18, Costa del Este</t>
        </is>
      </c>
      <c r="I51" s="3" t="inlineStr">
        <is>
          <t>WordPress multi-idioma; nombre genérico; correo y web en dominios distintos</t>
        </is>
      </c>
      <c r="J51" s="3" t="inlineStr">
        <is>
          <t>Fundada 2012; directores ex BBVA, Global Bank, Multibank, Prival, Credicorp</t>
        </is>
      </c>
      <c r="K51" s="3" t="inlineStr">
        <is>
          <t>Su correo vive en un dominio y su web en otro; para un cliente patrimonial eso es una señal de alerta, no un detalle.</t>
        </is>
      </c>
      <c r="L51" s="6" t="inlineStr">
        <is>
          <t>Pendiente</t>
        </is>
      </c>
      <c r="M51" s="7" t="n"/>
      <c r="N51" s="6" t="n"/>
      <c r="O51" s="6" t="n"/>
      <c r="P51" s="6" t="n"/>
    </row>
    <row r="52" ht="96" customHeight="1">
      <c r="A52" s="3" t="n">
        <v>51</v>
      </c>
      <c r="B52" s="3" t="inlineStr">
        <is>
          <t>Gestión patrimonial y fiduciarias</t>
        </is>
      </c>
      <c r="C52" s="8" t="inlineStr">
        <is>
          <t>B</t>
        </is>
      </c>
      <c r="D52" s="3" t="inlineStr">
        <is>
          <t>K&amp;B Family Office</t>
        </is>
      </c>
      <c r="E52" s="5" t="inlineStr">
        <is>
          <t>https://kb-familyoffice.com/en/</t>
        </is>
      </c>
      <c r="F52" s="3" t="inlineStr">
        <is>
          <t>Multi family office (5 empresas: financiera, corporativa, fiduciaria, inmobiliaria) para familias de LatAm e internacionales</t>
        </is>
      </c>
      <c r="G52" s="3" t="inlineStr">
        <is>
          <t>Maxime Berthet (CEO y socio fundador)</t>
        </is>
      </c>
      <c r="H52" s="3" t="inlineStr">
        <is>
          <t>LinkedIn pa.linkedin.com/in/maxime-berthet-63994a163; Tower Financial Center piso 43</t>
        </is>
      </c>
      <c r="I52" s="3" t="inlineStr">
        <is>
          <t>Web probablemente la más pulida de la lista: pitch de automatización / CRM, no rediseño</t>
        </is>
      </c>
      <c r="J52" s="3" t="inlineStr">
        <is>
          <t>Fundado 2007; grupo de cinco empresas; en PitchBook y Funds Society</t>
        </is>
      </c>
      <c r="K52" s="3" t="inlineStr">
        <is>
          <t>Tienen la estructura de un multi family office; les falta la automatización que haga que cada consulta llegue al socio correcto en minutos.</t>
        </is>
      </c>
      <c r="L52" s="6" t="inlineStr">
        <is>
          <t>Pendiente</t>
        </is>
      </c>
      <c r="M52" s="7" t="n"/>
      <c r="N52" s="6" t="n"/>
      <c r="O52" s="6" t="n"/>
      <c r="P52" s="6" t="n"/>
    </row>
    <row r="53" ht="96" customHeight="1">
      <c r="A53" s="3" t="n">
        <v>52</v>
      </c>
      <c r="B53" s="3" t="inlineStr">
        <is>
          <t>Gestión patrimonial y fiduciarias</t>
        </is>
      </c>
      <c r="C53" s="8" t="inlineStr">
        <is>
          <t>B</t>
        </is>
      </c>
      <c r="D53" s="3" t="inlineStr">
        <is>
          <t>Central Fiduciaria</t>
        </is>
      </c>
      <c r="E53" s="5" t="inlineStr">
        <is>
          <t>https://www.centralfiduciaria.com/</t>
        </is>
      </c>
      <c r="F53" s="3" t="inlineStr">
        <is>
          <t>Fiduciaria independiente (sin grupo bancario): fideicomisos, planificación sucesoria</t>
        </is>
      </c>
      <c r="G53" s="3" t="inlineStr">
        <is>
          <t>Juan Manuel De La Sierra (presidente); Fernando Sucre Míguez (VP, autor del blog)</t>
        </is>
      </c>
      <c r="H53" s="3" t="inlineStr">
        <is>
          <t>Sin correo directo público</t>
        </is>
      </c>
      <c r="I53" s="3" t="inlineStr">
        <is>
          <t>WordPress con blog activo y /en/; relativamente actual: el hueco es conversión y seguimiento</t>
        </is>
      </c>
      <c r="J53" s="3" t="inlineStr">
        <is>
          <t>Fundada 2002; licencia SBP-FID 0016-2013; calificación de riesgo PCR publicada</t>
        </is>
      </c>
      <c r="K53" s="3" t="inlineStr">
        <is>
          <t>Publican el mejor contenido fiduciario de Panamá y lo dejan sin un sistema que convierta lectores en clientes.</t>
        </is>
      </c>
      <c r="L53" s="6" t="inlineStr">
        <is>
          <t>Pendiente</t>
        </is>
      </c>
      <c r="M53" s="7" t="n"/>
      <c r="N53" s="6" t="n"/>
      <c r="O53" s="6" t="n"/>
      <c r="P53" s="6" t="n"/>
    </row>
    <row r="54" ht="96" customHeight="1">
      <c r="A54" s="3" t="n">
        <v>53</v>
      </c>
      <c r="B54" s="3" t="inlineStr">
        <is>
          <t>Turismo de alta gama</t>
        </is>
      </c>
      <c r="C54" s="4" t="inlineStr">
        <is>
          <t>A</t>
        </is>
      </c>
      <c r="D54" s="3" t="inlineStr">
        <is>
          <t>Coffee Estate Inn (Boquete)</t>
        </is>
      </c>
      <c r="E54" s="5" t="inlineStr">
        <is>
          <t>https://coffeeestateinn.com</t>
        </is>
      </c>
      <c r="F54" s="3" t="inlineStr">
        <is>
          <t>3 bungalows privados en finca de café, desayuno incluido (US$146-304/noche)</t>
        </is>
      </c>
      <c r="G54" s="3" t="inlineStr">
        <is>
          <t>Brian y Dayanara (propietarios)</t>
        </is>
      </c>
      <c r="H54" s="3" t="inlineStr">
        <is>
          <t>coffeeestateinn@icloud.com (DIRECTO); +507 6821-6215; FB /boqueteretreat</t>
        </is>
      </c>
      <c r="I54" s="3" t="inlineStr">
        <is>
          <t>Casi sin páginas propias indexadas; correo personal de iCloud, sin dominio; clones de scrapers posicionan para la marca; datos inconsistentes en OTAs</t>
        </is>
      </c>
      <c r="J54" s="3" t="inlineStr">
        <is>
          <t>Tripadvisor #1 de 16 hoteles en Boquete, 5/5, ~640 reseñas</t>
        </is>
      </c>
      <c r="K54" s="3" t="inlineStr">
        <is>
          <t>Son el hotel número uno de Boquete en Tripadvisor, pero quien los busca en Google encuentra clones de terceros antes que su propia web, y las reservas llegan a un correo de iCloud.</t>
        </is>
      </c>
      <c r="L54" s="6" t="inlineStr">
        <is>
          <t>Pendiente</t>
        </is>
      </c>
      <c r="M54" s="7" t="n"/>
      <c r="N54" s="6" t="n"/>
      <c r="O54" s="6" t="n"/>
      <c r="P54" s="6" t="n"/>
    </row>
    <row r="55" ht="96" customHeight="1">
      <c r="A55" s="3" t="n">
        <v>54</v>
      </c>
      <c r="B55" s="3" t="inlineStr">
        <is>
          <t>Turismo de alta gama</t>
        </is>
      </c>
      <c r="C55" s="4" t="inlineStr">
        <is>
          <t>A</t>
        </is>
      </c>
      <c r="D55" s="3" t="inlineStr">
        <is>
          <t>Scuba Coiba (Santa Catalina)</t>
        </is>
      </c>
      <c r="E55" s="5" t="inlineStr">
        <is>
          <t>https://scubacoiba.com</t>
        </is>
      </c>
      <c r="F55" s="3" t="inlineStr">
        <is>
          <t>Centro PADI 5 estrellas; salidas de día y viajes de 2-5 días a Coiba</t>
        </is>
      </c>
      <c r="G55" s="3" t="inlineStr">
        <is>
          <t>Herbie Sunk (propietario, fundó 2003, pionero en el parque)</t>
        </is>
      </c>
      <c r="H55" s="3" t="inlineStr">
        <is>
          <t>info@scubacoiba.com (genérico); +507 6872-8097</t>
        </is>
      </c>
      <c r="I55" s="3" t="inlineStr">
        <is>
          <t>Sin páginas propias indexadas; reservas por enlaces WeTravel de terceros; reseña en TA dice que 'el centro muestra su edad'</t>
        </is>
      </c>
      <c r="J55" s="3" t="inlineStr">
        <is>
          <t>~267 reseñas TA; 20+ años; PADI 5 estrellas</t>
        </is>
      </c>
      <c r="K55" s="3" t="inlineStr">
        <is>
          <t>Fueron los pioneros del buceo en Coiba hace más de veinte años y hoy su web no transmite esa autoridad: las reservas dependen de plataformas externas.</t>
        </is>
      </c>
      <c r="L55" s="6" t="inlineStr">
        <is>
          <t>Pendiente</t>
        </is>
      </c>
      <c r="M55" s="7" t="n"/>
      <c r="N55" s="6" t="n"/>
      <c r="O55" s="6" t="n"/>
      <c r="P55" s="6" t="n"/>
    </row>
    <row r="56" ht="96" customHeight="1">
      <c r="A56" s="3" t="n">
        <v>55</v>
      </c>
      <c r="B56" s="3" t="inlineStr">
        <is>
          <t>Turismo de alta gama</t>
        </is>
      </c>
      <c r="C56" s="4" t="inlineStr">
        <is>
          <t>A</t>
        </is>
      </c>
      <c r="D56" s="3" t="inlineStr">
        <is>
          <t>Sport Fish Panama Island Lodge (Isla Parida)</t>
        </is>
      </c>
      <c r="E56" s="5" t="inlineStr">
        <is>
          <t>https://fishpanamatoday.com</t>
        </is>
      </c>
      <c r="F56" s="3" t="inlineStr">
        <is>
          <t>Pesca deportiva todo incluido en isla privada; paquetes VIP US$3,995-9,975 por persona</t>
        </is>
      </c>
      <c r="G56" s="3" t="inlineStr">
        <is>
          <t>Capt. Shane Jarvis (propietario, familia desde 2003)</t>
        </is>
      </c>
      <c r="H56" s="3" t="inlineStr">
        <is>
          <t>LinkedIn linkedin.com/company/sport-fish-panama-island-lodge; FB /panamafishing; sin correo directo</t>
        </is>
      </c>
      <c r="I56" s="3" t="inlineStr">
        <is>
          <t>El dominio no lleva el nombre del lodge; depende de FishingBooker para reservas; última nota de prensa en 2018</t>
        </is>
      </c>
      <c r="J56" s="3" t="inlineStr">
        <is>
          <t>~220+ reseñas TA con tono 5 estrellas; comparado con Tropic Star en foros</t>
        </is>
      </c>
      <c r="K56" s="3" t="inlineStr">
        <is>
          <t>Venden paquetes de 4,000 a 10,000 dólares desde una isla privada, pero el dominio ni siquiera lleva el nombre del lodge.</t>
        </is>
      </c>
      <c r="L56" s="6" t="inlineStr">
        <is>
          <t>Pendiente</t>
        </is>
      </c>
      <c r="M56" s="7" t="n"/>
      <c r="N56" s="6" t="n"/>
      <c r="O56" s="6" t="n"/>
      <c r="P56" s="6" t="n"/>
    </row>
    <row r="57" ht="96" customHeight="1">
      <c r="A57" s="3" t="n">
        <v>56</v>
      </c>
      <c r="B57" s="3" t="inlineStr">
        <is>
          <t>Turismo de alta gama</t>
        </is>
      </c>
      <c r="C57" s="4" t="inlineStr">
        <is>
          <t>A</t>
        </is>
      </c>
      <c r="D57" s="3" t="inlineStr">
        <is>
          <t>Pesca Panama (Hannibal Bank / Coiba)</t>
        </is>
      </c>
      <c r="E57" s="5" t="inlineStr">
        <is>
          <t>https://pescapanama.com</t>
        </is>
      </c>
      <c r="F57" s="3" t="inlineStr">
        <is>
          <t>Barco madre 'Hannibal' (12-16 huéspedes) + lanchas; 6 días todo incluido US$4,395-4,895 por persona</t>
        </is>
      </c>
      <c r="G57" s="3" t="inlineStr">
        <is>
          <t>Mike (propietario desde 2014; apellido por confirmar)</t>
        </is>
      </c>
      <c r="H57" s="3" t="inlineStr">
        <is>
          <t>Sin correo directo</t>
        </is>
      </c>
      <c r="I57" s="3" t="inlineStr">
        <is>
          <t>Sin páginas propias indexadas; venta intermediada por agencias de EEUU (Frontiers, BD Outdoors)</t>
        </is>
      </c>
      <c r="J57" s="3" t="inlineStr">
        <is>
          <t>TA 5.0 (16 reseñas); #2 Boat Tours en David; reportaje en On The Water</t>
        </is>
      </c>
      <c r="K57" s="3" t="inlineStr">
        <is>
          <t>Tienen cinco estrellas y semanas de 4,500 dólares por persona, pero casi toda la venta pasa por agencias en Estados Unidos; una web propia les devolvería el margen.</t>
        </is>
      </c>
      <c r="L57" s="6" t="inlineStr">
        <is>
          <t>Pendiente</t>
        </is>
      </c>
      <c r="M57" s="7" t="n"/>
      <c r="N57" s="6" t="n"/>
      <c r="O57" s="6" t="n"/>
      <c r="P57" s="6" t="n"/>
    </row>
    <row r="58" ht="96" customHeight="1">
      <c r="A58" s="3" t="n">
        <v>57</v>
      </c>
      <c r="B58" s="3" t="inlineStr">
        <is>
          <t>Turismo de alta gama</t>
        </is>
      </c>
      <c r="C58" s="4" t="inlineStr">
        <is>
          <t>A</t>
        </is>
      </c>
      <c r="D58" s="3" t="inlineStr">
        <is>
          <t>Catamaran Adventures San Blas</t>
        </is>
      </c>
      <c r="E58" s="5" t="inlineStr">
        <is>
          <t>https://catamaranadventures.net</t>
        </is>
      </c>
      <c r="F58" s="3" t="inlineStr">
        <is>
          <t>Charters privados en catamarán con tripulación; Lagoon 40 desde US$1,800/día, Leopard 50 desde US$2,600/día</t>
        </is>
      </c>
      <c r="G58" s="3" t="inlineStr">
        <is>
          <t>Alvaro (contacto en reseñas; fundado 2012)</t>
        </is>
      </c>
      <c r="H58" s="3" t="inlineStr">
        <is>
          <t>Sin correo directo</t>
        </is>
      </c>
      <c r="I58" s="3" t="inlineStr">
        <is>
          <t>Sin páginas propias indexadas; confusión de marca con Portobelo, Costa Rica y Florida; listado duplicado en TA con precio erróneo; video promo de 2014</t>
        </is>
      </c>
      <c r="J58" s="3" t="inlineStr">
        <is>
          <t>TA 4.9 (~270 reseñas); #2 de 28 actividades en El Porvenir</t>
        </is>
      </c>
      <c r="K58" s="3" t="inlineStr">
        <is>
          <t>Con casi 300 reseñas de 4.9 y charters de 2,600 dólares por día, en Internet los confunden con operadores de Portobelo, Costa Rica y Florida.</t>
        </is>
      </c>
      <c r="L58" s="6" t="inlineStr">
        <is>
          <t>Pendiente</t>
        </is>
      </c>
      <c r="M58" s="7" t="n"/>
      <c r="N58" s="6" t="n"/>
      <c r="O58" s="6" t="n"/>
      <c r="P58" s="6" t="n"/>
    </row>
    <row r="59" ht="96" customHeight="1">
      <c r="A59" s="3" t="n">
        <v>58</v>
      </c>
      <c r="B59" s="3" t="inlineStr">
        <is>
          <t>Turismo de alta gama</t>
        </is>
      </c>
      <c r="C59" s="4" t="inlineStr">
        <is>
          <t>A</t>
        </is>
      </c>
      <c r="D59" s="3" t="inlineStr">
        <is>
          <t>Urraca Monkey Island Eco Resort (Bocas)</t>
        </is>
      </c>
      <c r="E59" s="5" t="inlineStr">
        <is>
          <t>https://urracamonkeyisland.com</t>
        </is>
      </c>
      <c r="F59" s="3" t="inlineStr">
        <is>
          <t>Isla privada solo adultos, 6 bungalows sobre el agua, santuario de monos (US$195 a 1,500/noche según OTA)</t>
        </is>
      </c>
      <c r="G59" s="3" t="inlineStr">
        <is>
          <t>Francine (propietaria, francocanadiense)</t>
        </is>
      </c>
      <c r="H59" s="3" t="inlineStr">
        <is>
          <t>FB /urracamonkeyisland; YouTube; sin correo directo</t>
        </is>
      </c>
      <c r="I59" s="3" t="inlineStr">
        <is>
          <t>Sin páginas propias indexadas; dos nombres en circulación; precios totalmente inconsistentes entre OTAs (sin motor de reservas propio)</t>
        </is>
      </c>
      <c r="J59" s="3" t="inlineStr">
        <is>
          <t>4.9 (65 reseñas); Booking 9.1; blogs de viaje</t>
        </is>
      </c>
      <c r="K59" s="3" t="inlineStr">
        <is>
          <t>Dependiendo de dónde busque, el huésped ve su isla privada a 195 o a 1,500 dólares la noche, y con dos nombres distintos.</t>
        </is>
      </c>
      <c r="L59" s="6" t="inlineStr">
        <is>
          <t>Pendiente</t>
        </is>
      </c>
      <c r="M59" s="7" t="n"/>
      <c r="N59" s="6" t="n"/>
      <c r="O59" s="6" t="n"/>
      <c r="P59" s="6" t="n"/>
    </row>
    <row r="60" ht="96" customHeight="1">
      <c r="A60" s="3" t="n">
        <v>59</v>
      </c>
      <c r="B60" s="3" t="inlineStr">
        <is>
          <t>Turismo de alta gama</t>
        </is>
      </c>
      <c r="C60" s="4" t="inlineStr">
        <is>
          <t>A</t>
        </is>
      </c>
      <c r="D60" s="3" t="inlineStr">
        <is>
          <t>Casa Lajagua (Pedasí)</t>
        </is>
      </c>
      <c r="E60" s="3" t="inlineStr">
        <is>
          <t>SIN WEB (solo Tripadvisor / Booking)</t>
        </is>
      </c>
      <c r="F60" s="3" t="inlineStr">
        <is>
          <t>B&amp;B boutique con piscina cerca de 7 playas (US$90-100/noche; #1 del pueblo)</t>
        </is>
      </c>
      <c r="G60" s="3" t="inlineStr">
        <is>
          <t>Craig y April (propietarios, canadienses, viven en sitio)</t>
        </is>
      </c>
      <c r="H60" s="3" t="inlineStr">
        <is>
          <t>Sin correo público</t>
        </is>
      </c>
      <c r="I60" s="3" t="inlineStr">
        <is>
          <t>No existe web oficial indexada; toda la demanda pasa por TA/Booking</t>
        </is>
      </c>
      <c r="J60" s="3" t="inlineStr">
        <is>
          <t>TA #1 de 23 B&amp;B en Pedasí, 4.9, ~615 reseñas</t>
        </is>
      </c>
      <c r="K60" s="3" t="inlineStr">
        <is>
          <t>Son el número uno de Pedasí con más de 600 reseñas, y sin embargo quien los busca termina en Tripadvisor o Booking porque no hay una web propia que capture esa reserva y esa comisión.</t>
        </is>
      </c>
      <c r="L60" s="6" t="inlineStr">
        <is>
          <t>Pendiente</t>
        </is>
      </c>
      <c r="M60" s="7" t="n"/>
      <c r="N60" s="6" t="n"/>
      <c r="O60" s="6" t="n"/>
      <c r="P60" s="6" t="n"/>
    </row>
    <row r="61" ht="96" customHeight="1">
      <c r="A61" s="3" t="n">
        <v>60</v>
      </c>
      <c r="B61" s="3" t="inlineStr">
        <is>
          <t>Turismo de alta gama</t>
        </is>
      </c>
      <c r="C61" s="8" t="inlineStr">
        <is>
          <t>B</t>
        </is>
      </c>
      <c r="D61" s="3" t="inlineStr">
        <is>
          <t>La Concordia Boutique Hotel (Casco Viejo)</t>
        </is>
      </c>
      <c r="E61" s="5" t="inlineStr">
        <is>
          <t>https://laconcordiapanama.com.pa</t>
        </is>
      </c>
      <c r="F61" s="3" t="inlineStr">
        <is>
          <t>Hotel boutique familiar de 10 habitaciones, rooftop Numen, restaurante LOLA mia (US$179-450/noche)</t>
        </is>
      </c>
      <c r="G61" s="3" t="inlineStr">
        <is>
          <t>Marc y Eva Fornós (fundadores)</t>
        </is>
      </c>
      <c r="H61" s="3" t="inlineStr">
        <is>
          <t>Sin correo directo público</t>
        </is>
      </c>
      <c r="I61" s="3" t="inlineStr">
        <is>
          <t>Dos dominios vivos (.com.pa y .com); ?lang=en = WordPress español-primero; varios clones posicionan con su nombre</t>
        </is>
      </c>
      <c r="J61" s="3" t="inlineStr">
        <is>
          <t>TA #5 de 138 hoteles en Ciudad de Panamá, 337 reseñas; abrió 2017</t>
        </is>
      </c>
      <c r="K61" s="3" t="inlineStr">
        <is>
          <t>Un hotel familiar top 5 de la ciudad vive repartido en dos dominios y rodeado de páginas clonadas que usan su nombre.</t>
        </is>
      </c>
      <c r="L61" s="6" t="inlineStr">
        <is>
          <t>Pendiente</t>
        </is>
      </c>
      <c r="M61" s="7" t="n"/>
      <c r="N61" s="6" t="n"/>
      <c r="O61" s="6" t="n"/>
      <c r="P61" s="6" t="n"/>
    </row>
    <row r="62" ht="96" customHeight="1">
      <c r="A62" s="3" t="n">
        <v>61</v>
      </c>
      <c r="B62" s="3" t="inlineStr">
        <is>
          <t>Turismo de alta gama</t>
        </is>
      </c>
      <c r="C62" s="8" t="inlineStr">
        <is>
          <t>B</t>
        </is>
      </c>
      <c r="D62" s="3" t="inlineStr">
        <is>
          <t>The Ark Divers (Pixvae / Coiba)</t>
        </is>
      </c>
      <c r="E62" s="5" t="inlineStr">
        <is>
          <t>https://thearkdivers.com</t>
        </is>
      </c>
      <c r="F62" s="3" t="inlineStr">
        <is>
          <t>3 cabañas solares; buceo + estadía todo incluido US$1,231-1,619 por persona (3N/2D)</t>
        </is>
      </c>
      <c r="G62" s="3" t="inlineStr">
        <is>
          <t>Mike y Audrey (anfitriones)</t>
        </is>
      </c>
      <c r="H62" s="3" t="inlineStr">
        <is>
          <t>Sin correo directo</t>
        </is>
      </c>
      <c r="I62" s="3" t="inlineStr">
        <is>
          <t>Web parece mantenida (constructor de sitios); sin idiomas; reserva solo por correo</t>
        </is>
      </c>
      <c r="J62" s="3" t="inlineStr">
        <is>
          <t>TA 5/5 (32 reseñas), #1 en Pixvae; reportes en Undercurrent; Bluewater Dive Travel</t>
        </is>
      </c>
      <c r="K62" s="3" t="inlineStr">
        <is>
          <t>Cada reseña dice que el lugar es un hallazgo, y justamente ese es el problema: la web no convierte a quien los encuentra en una reserva sin escribir primero por correo.</t>
        </is>
      </c>
      <c r="L62" s="6" t="inlineStr">
        <is>
          <t>Pendiente</t>
        </is>
      </c>
      <c r="M62" s="7" t="n"/>
      <c r="N62" s="6" t="n"/>
      <c r="O62" s="6" t="n"/>
      <c r="P62" s="6" t="n"/>
    </row>
    <row r="63" ht="96" customHeight="1">
      <c r="A63" s="3" t="n">
        <v>62</v>
      </c>
      <c r="B63" s="3" t="inlineStr">
        <is>
          <t>Turismo de alta gama</t>
        </is>
      </c>
      <c r="C63" s="9" t="inlineStr">
        <is>
          <t>C</t>
        </is>
      </c>
      <c r="D63" s="3" t="inlineStr">
        <is>
          <t>Tranquilo Bay Eco Adventure Lodge (Bastimentos)</t>
        </is>
      </c>
      <c r="E63" s="5" t="inlineStr">
        <is>
          <t>https://tranquilobay.com</t>
        </is>
      </c>
      <c r="F63" s="3" t="inlineStr">
        <is>
          <t>Eco lodge todo incluido en reserva privada de 200 acres (US$306-336 por persona/día)</t>
        </is>
      </c>
      <c r="G63" s="3" t="inlineStr">
        <is>
          <t>Jim y Renée Kimball, Jay Viola (fundadores)</t>
        </is>
      </c>
      <c r="H63" s="3" t="inlineStr">
        <is>
          <t>Sin correo directo</t>
        </is>
      </c>
      <c r="I63" s="3" t="inlineStr">
        <is>
          <t>Web más fuerte del grupo: pitch de automatización de consultas y reservas</t>
        </is>
      </c>
      <c r="J63" s="3" t="inlineStr">
        <is>
          <t>TA 5/5 (215 reseñas); TrustScore 4.9 (1,046); Scuba Diving mag</t>
        </is>
      </c>
      <c r="K63" s="3" t="inlineStr">
        <is>
          <t>Su web ya vende bien; lo que falta es que responda y califique consultas las 24 horas sin que Jim o Renée tengan que dejar al huésped.</t>
        </is>
      </c>
      <c r="L63" s="6" t="inlineStr">
        <is>
          <t>Pendiente</t>
        </is>
      </c>
      <c r="M63" s="7" t="n"/>
      <c r="N63" s="6" t="n"/>
      <c r="O63" s="6" t="n"/>
      <c r="P63" s="6" t="n"/>
    </row>
  </sheetData>
  <autoFilter ref="A1:P63"/>
  <dataValidations count="2">
    <dataValidation sqref="L2:L63" showDropDown="0" showInputMessage="0" showErrorMessage="0" allowBlank="1" type="list">
      <formula1>"Pendiente,Investigado,Mockup hecho,Contactado,Respondió,Reunión,Cliente,Descartado"</formula1>
    </dataValidation>
    <dataValidation sqref="N2:N63" showDropDown="0" showInputMessage="0" showErrorMessage="0" allowBlank="1" type="list">
      <formula1>"Email,WhatsApp,LinkedIn,Instagram,Llamada,Presencial"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40" r:id="rId35"/>
    <hyperlink xmlns:r="http://schemas.openxmlformats.org/officeDocument/2006/relationships" ref="E43" r:id="rId36"/>
    <hyperlink xmlns:r="http://schemas.openxmlformats.org/officeDocument/2006/relationships" ref="E44" r:id="rId37"/>
    <hyperlink xmlns:r="http://schemas.openxmlformats.org/officeDocument/2006/relationships" ref="E45" r:id="rId38"/>
    <hyperlink xmlns:r="http://schemas.openxmlformats.org/officeDocument/2006/relationships" ref="E46" r:id="rId39"/>
    <hyperlink xmlns:r="http://schemas.openxmlformats.org/officeDocument/2006/relationships" ref="E47" r:id="rId40"/>
    <hyperlink xmlns:r="http://schemas.openxmlformats.org/officeDocument/2006/relationships" ref="E48" r:id="rId41"/>
    <hyperlink xmlns:r="http://schemas.openxmlformats.org/officeDocument/2006/relationships" ref="E49" r:id="rId42"/>
    <hyperlink xmlns:r="http://schemas.openxmlformats.org/officeDocument/2006/relationships" ref="E50" r:id="rId43"/>
    <hyperlink xmlns:r="http://schemas.openxmlformats.org/officeDocument/2006/relationships" ref="E51" r:id="rId44"/>
    <hyperlink xmlns:r="http://schemas.openxmlformats.org/officeDocument/2006/relationships" ref="E52" r:id="rId45"/>
    <hyperlink xmlns:r="http://schemas.openxmlformats.org/officeDocument/2006/relationships" ref="E53" r:id="rId46"/>
    <hyperlink xmlns:r="http://schemas.openxmlformats.org/officeDocument/2006/relationships" ref="E54" r:id="rId47"/>
    <hyperlink xmlns:r="http://schemas.openxmlformats.org/officeDocument/2006/relationships" ref="E55" r:id="rId48"/>
    <hyperlink xmlns:r="http://schemas.openxmlformats.org/officeDocument/2006/relationships" ref="E56" r:id="rId49"/>
    <hyperlink xmlns:r="http://schemas.openxmlformats.org/officeDocument/2006/relationships" ref="E57" r:id="rId50"/>
    <hyperlink xmlns:r="http://schemas.openxmlformats.org/officeDocument/2006/relationships" ref="E58" r:id="rId51"/>
    <hyperlink xmlns:r="http://schemas.openxmlformats.org/officeDocument/2006/relationships" ref="E59" r:id="rId52"/>
    <hyperlink xmlns:r="http://schemas.openxmlformats.org/officeDocument/2006/relationships" ref="E61" r:id="rId53"/>
    <hyperlink xmlns:r="http://schemas.openxmlformats.org/officeDocument/2006/relationships" ref="E62" r:id="rId54"/>
    <hyperlink xmlns:r="http://schemas.openxmlformats.org/officeDocument/2006/relationships" ref="E63" r:id="rId55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34" customWidth="1" min="4" max="4"/>
    <col width="30" customWidth="1" min="5" max="5"/>
    <col width="26" customWidth="1" min="6" max="6"/>
    <col width="36" customWidth="1" min="7" max="7"/>
    <col width="30" customWidth="1" min="8" max="8"/>
    <col width="44" customWidth="1" min="9" max="9"/>
    <col width="36" customWidth="1" min="10" max="10"/>
    <col width="60" customWidth="1" min="11" max="11"/>
    <col width="16" customWidth="1" min="12" max="12"/>
    <col width="14" customWidth="1" min="13" max="13"/>
    <col width="14" customWidth="1" min="14" max="14"/>
    <col width="30" customWidth="1" min="15" max="15"/>
    <col width="30" customWidth="1" min="16" max="16"/>
  </cols>
  <sheetData>
    <row r="1">
      <c r="A1" s="1" t="inlineStr">
        <is>
          <t>#</t>
        </is>
      </c>
      <c r="B1" s="1" t="inlineStr">
        <is>
          <t>Nicho</t>
        </is>
      </c>
      <c r="C1" s="1" t="inlineStr">
        <is>
          <t>Facilidad</t>
        </is>
      </c>
      <c r="D1" s="1" t="inlineStr">
        <is>
          <t>Empresa / persona</t>
        </is>
      </c>
      <c r="E1" s="1" t="inlineStr">
        <is>
          <t>Web</t>
        </is>
      </c>
      <c r="F1" s="1" t="inlineStr">
        <is>
          <t>Instagram</t>
        </is>
      </c>
      <c r="G1" s="1" t="inlineStr">
        <is>
          <t>WhatsApp / contacto</t>
        </is>
      </c>
      <c r="H1" s="1" t="inlineStr">
        <is>
          <t>Decisor</t>
        </is>
      </c>
      <c r="I1" s="1" t="inlineStr">
        <is>
          <t>Ya pagan por leads</t>
        </is>
      </c>
      <c r="J1" s="1" t="inlineStr">
        <is>
          <t>Evidencia</t>
        </is>
      </c>
      <c r="K1" s="1" t="inlineStr">
        <is>
          <t>Gancho (ES)</t>
        </is>
      </c>
      <c r="L1" s="2" t="inlineStr">
        <is>
          <t>Estado</t>
        </is>
      </c>
      <c r="M1" s="2" t="inlineStr">
        <is>
          <t>Fecha contacto</t>
        </is>
      </c>
      <c r="N1" s="2" t="inlineStr">
        <is>
          <t>Canal</t>
        </is>
      </c>
      <c r="O1" s="2" t="inlineStr">
        <is>
          <t>Respuesta</t>
        </is>
      </c>
      <c r="P1" s="2" t="inlineStr">
        <is>
          <t>Notas</t>
        </is>
      </c>
    </row>
    <row r="2" ht="84" customHeight="1">
      <c r="A2" s="3" t="n">
        <v>1</v>
      </c>
      <c r="B2" s="3" t="inlineStr">
        <is>
          <t>Autos seminuevos premium</t>
        </is>
      </c>
      <c r="C2" s="18" t="inlineStr">
        <is>
          <t>1 · Muy fácil</t>
        </is>
      </c>
      <c r="D2" s="3" t="inlineStr">
        <is>
          <t>DV Motors (Costa del Este)</t>
        </is>
      </c>
      <c r="E2" s="5" t="inlineStr">
        <is>
          <t>dvmotors.co</t>
        </is>
      </c>
      <c r="F2" s="3" t="inlineStr">
        <is>
          <t>@dvmotors.pty</t>
        </is>
      </c>
      <c r="G2" s="19" t="inlineStr">
        <is>
          <t>+507 6683-7836; sales@dvmotors.co</t>
        </is>
      </c>
      <c r="H2" s="3" t="inlineStr">
        <is>
          <t>No identificado (dealer boutique, dueño presente)</t>
        </is>
      </c>
      <c r="I2" s="3" t="inlineStr">
        <is>
          <t>Listados premium en encuentra24 (BMW X5, M4, Mercedes, Audi Q8); consignación y trade-in</t>
        </is>
      </c>
      <c r="J2" s="3" t="inlineStr">
        <is>
          <t>29 unidades en showroom; horario L-S 9-18</t>
        </is>
      </c>
      <c r="K2" s="3" t="inlineStr">
        <is>
          <t>29 carros en showroom y una sola línea de WhatsApp que cierra a las 6 pm: los leads de la noche y el domingo nadie los califica.</t>
        </is>
      </c>
      <c r="L2" s="6" t="inlineStr">
        <is>
          <t>Pendiente</t>
        </is>
      </c>
      <c r="M2" s="7" t="n"/>
      <c r="N2" s="6" t="n"/>
      <c r="O2" s="6" t="n"/>
      <c r="P2" s="6" t="n"/>
    </row>
    <row r="3" ht="84" customHeight="1">
      <c r="A3" s="3" t="n">
        <v>2</v>
      </c>
      <c r="B3" s="3" t="inlineStr">
        <is>
          <t>Autos seminuevos premium</t>
        </is>
      </c>
      <c r="C3" s="18" t="inlineStr">
        <is>
          <t>1 · Muy fácil</t>
        </is>
      </c>
      <c r="D3" s="3" t="inlineStr">
        <is>
          <t>Luxury Garage Panamá + Luxury Motors Panamá (San Francisco, misma dirección)</t>
        </is>
      </c>
      <c r="E3" s="5" t="inlineStr">
        <is>
          <t>luxurygaragepanama.com / luxurymotorspanama.com</t>
        </is>
      </c>
      <c r="F3" s="3" t="inlineStr">
        <is>
          <t>@luxurygaragepanama (5.2K)</t>
        </is>
      </c>
      <c r="G3" s="19" t="inlineStr">
        <is>
          <t>+507 6094-1911 / 6678-3330; tel 229-0628; info@luxurygaragepanama.com</t>
        </is>
      </c>
      <c r="H3" s="3" t="inlineStr">
        <is>
          <t>No identificado (tratar ambas marcas como un solo dueño hasta confirmar)</t>
        </is>
      </c>
      <c r="I3" s="3" t="inlineStr">
        <is>
          <t>Perfil encuentra24 con 3 páginas de anuncios; consignación</t>
        </is>
      </c>
      <c r="J3" s="3" t="inlineStr">
        <is>
          <t>Inventario Aston Martin, Ferrari, Lamborghini, Porsche; Facebook con cero reseñas; correo Gmail en una de las dos</t>
        </is>
      </c>
      <c r="K3" s="3" t="inlineStr">
        <is>
          <t>Venden Ferraris y Maseratis pero su Facebook no tiene ni una reseña y la web no tiene bot: el comprador de 80 mil escribe de noche y le contestan al día siguiente.</t>
        </is>
      </c>
      <c r="L3" s="6" t="inlineStr">
        <is>
          <t>Pendiente</t>
        </is>
      </c>
      <c r="M3" s="7" t="n"/>
      <c r="N3" s="6" t="n"/>
      <c r="O3" s="6" t="n"/>
      <c r="P3" s="6" t="n"/>
    </row>
    <row r="4" ht="84" customHeight="1">
      <c r="A4" s="3" t="n">
        <v>3</v>
      </c>
      <c r="B4" s="3" t="inlineStr">
        <is>
          <t>Autos seminuevos premium</t>
        </is>
      </c>
      <c r="C4" s="18" t="inlineStr">
        <is>
          <t>1 · Muy fácil</t>
        </is>
      </c>
      <c r="D4" s="3" t="inlineStr">
        <is>
          <t>UsadosPanama.com (Lumovil, Calle 50 Marbella)</t>
        </is>
      </c>
      <c r="E4" s="5" t="inlineStr">
        <is>
          <t>usadospanama.com</t>
        </is>
      </c>
      <c r="F4" s="3" t="inlineStr">
        <is>
          <t>@usadospanama1 (24K)</t>
        </is>
      </c>
      <c r="G4" s="19" t="inlineStr">
        <is>
          <t>WhatsApp 6426-6361; tel 214-4700; asolis@panarental.com (gerente)</t>
        </is>
      </c>
      <c r="H4" s="3" t="inlineStr">
        <is>
          <t>A. Solís (gerente, ligado a Panarental)</t>
        </is>
      </c>
      <c r="I4" s="3" t="inlineStr">
        <is>
          <t>Sección Promociones en la web; asesoría de financiamiento</t>
        </is>
      </c>
      <c r="J4" s="3" t="inlineStr">
        <is>
          <t>Fundada 2018; también taller</t>
        </is>
      </c>
      <c r="K4" s="3" t="inlineStr">
        <is>
          <t>Tienen promos en la web y 24K seguidores, pero el WhatsApp es un celular: los leads de las promos se pierden en el mismo chat del taller.</t>
        </is>
      </c>
      <c r="L4" s="6" t="inlineStr">
        <is>
          <t>Pendiente</t>
        </is>
      </c>
      <c r="M4" s="7" t="n"/>
      <c r="N4" s="6" t="n"/>
      <c r="O4" s="6" t="n"/>
      <c r="P4" s="6" t="n"/>
    </row>
    <row r="5" ht="84" customHeight="1">
      <c r="A5" s="3" t="n">
        <v>4</v>
      </c>
      <c r="B5" s="3" t="inlineStr">
        <is>
          <t>Autos seminuevos premium</t>
        </is>
      </c>
      <c r="C5" s="18" t="inlineStr">
        <is>
          <t>1 · Muy fácil</t>
        </is>
      </c>
      <c r="D5" s="3" t="inlineStr">
        <is>
          <t>Bottenhorn Premium Car Dealership (Costa del Este)</t>
        </is>
      </c>
      <c r="E5" s="5" t="inlineStr">
        <is>
          <t>bottenhornpa.com</t>
        </is>
      </c>
      <c r="F5" s="3" t="inlineStr">
        <is>
          <t>@bottenhornpa; TikTok; YouTube</t>
        </is>
      </c>
      <c r="G5" s="19" t="inlineStr">
        <is>
          <t>+507 6895-3232; info@bottenhornpa.com</t>
        </is>
      </c>
      <c r="H5" s="3" t="inlineStr">
        <is>
          <t>Vladimir Bottenhorn (fundador y CEO, ex BMW)</t>
        </is>
      </c>
      <c r="I5" s="3" t="inlineStr">
        <is>
          <t>encuentra24 activo; financiamiento; 'mayor inventario de autos europeos de Panamá'</t>
        </is>
      </c>
      <c r="J5" s="3" t="inlineStr">
        <is>
          <t>Más de una década; negocio familiar; atiende solo por cita privada</t>
        </is>
      </c>
      <c r="K5" s="3" t="inlineStr">
        <is>
          <t>Atienden solo por cita privada: cada mensaje de Instagram que no se responde en 10 minutos es un BMW que se va a otro showroom de Costa del Este.</t>
        </is>
      </c>
      <c r="L5" s="6" t="inlineStr">
        <is>
          <t>Pendiente</t>
        </is>
      </c>
      <c r="M5" s="7" t="n"/>
      <c r="N5" s="6" t="n"/>
      <c r="O5" s="6" t="n"/>
      <c r="P5" s="6" t="n"/>
    </row>
    <row r="6" ht="84" customHeight="1">
      <c r="A6" s="3" t="n">
        <v>5</v>
      </c>
      <c r="B6" s="3" t="inlineStr">
        <is>
          <t>Mejoras del hogar (alto ticket)</t>
        </is>
      </c>
      <c r="C6" s="18" t="inlineStr">
        <is>
          <t>1 · Muy fácil</t>
        </is>
      </c>
      <c r="D6" s="3" t="inlineStr">
        <is>
          <t>Cocinas y Muebles Panamá (cocinas, closets, puertas)</t>
        </is>
      </c>
      <c r="E6" s="3" t="inlineStr">
        <is>
          <t>sin web / solo Instagram</t>
        </is>
      </c>
      <c r="F6" s="3" t="inlineStr">
        <is>
          <t>@cocinasymueblespanama (9K)</t>
        </is>
      </c>
      <c r="G6" s="19" t="inlineStr">
        <is>
          <t>6350-4551 (en la bio)</t>
        </is>
      </c>
      <c r="H6" s="3" t="inlineStr">
        <is>
          <t>No identificado</t>
        </is>
      </c>
      <c r="I6" s="3" t="inlineStr">
        <is>
          <t>Bio de IG = 'cotiza al 6350-4551'; todo el embudo es Instagram a WhatsApp</t>
        </is>
      </c>
      <c r="J6" s="3" t="inlineStr">
        <is>
          <t>Sin web ni Google Business fuerte</t>
        </is>
      </c>
      <c r="K6" s="3" t="inlineStr">
        <is>
          <t>Todo el negocio vive en una bio de Instagram: sin web, y el 6350-4551 contesta solo cuando el dueño no está midiendo una cocina.</t>
        </is>
      </c>
      <c r="L6" s="6" t="inlineStr">
        <is>
          <t>Pendiente</t>
        </is>
      </c>
      <c r="M6" s="7" t="n"/>
      <c r="N6" s="6" t="n"/>
      <c r="O6" s="6" t="n"/>
      <c r="P6" s="6" t="n"/>
    </row>
    <row r="7" ht="84" customHeight="1">
      <c r="A7" s="3" t="n">
        <v>6</v>
      </c>
      <c r="B7" s="3" t="inlineStr">
        <is>
          <t>Mejoras del hogar (alto ticket)</t>
        </is>
      </c>
      <c r="C7" s="18" t="inlineStr">
        <is>
          <t>1 · Muy fácil</t>
        </is>
      </c>
      <c r="D7" s="3" t="inlineStr">
        <is>
          <t>Profil Glass (cabinas de baño, barandas, ventanas)</t>
        </is>
      </c>
      <c r="E7" s="5" t="inlineStr">
        <is>
          <t>profilglasspty.com</t>
        </is>
      </c>
      <c r="F7" s="3" t="inlineStr">
        <is>
          <t>@profilglasspty</t>
        </is>
      </c>
      <c r="G7" s="19" t="inlineStr">
        <is>
          <t>+507 6430-6553; tel 391-8589</t>
        </is>
      </c>
      <c r="H7" s="3" t="inlineStr">
        <is>
          <t>No identificado (Río Abajo, Plaza Gaudiano)</t>
        </is>
      </c>
      <c r="I7" s="3" t="inlineStr">
        <is>
          <t>Web dice literalmente 'escríbenos por WhatsApp con medidas aproximadas'; horario L-S 8am-10pm</t>
        </is>
      </c>
      <c r="J7" s="3" t="inlineStr">
        <is>
          <t>15+ años; portafolio en web</t>
        </is>
      </c>
      <c r="K7" s="3" t="inlineStr">
        <is>
          <t>Su propia web dice 'manda las medidas por WhatsApp': un asistente que las pida, precotice y agende la visita les ahorra las 14 horas de chat diario.</t>
        </is>
      </c>
      <c r="L7" s="6" t="inlineStr">
        <is>
          <t>Pendiente</t>
        </is>
      </c>
      <c r="M7" s="7" t="n"/>
      <c r="N7" s="6" t="n"/>
      <c r="O7" s="6" t="n"/>
      <c r="P7" s="6" t="n"/>
    </row>
    <row r="8" ht="84" customHeight="1">
      <c r="A8" s="3" t="n">
        <v>7</v>
      </c>
      <c r="B8" s="3" t="inlineStr">
        <is>
          <t>Mejoras del hogar (alto ticket)</t>
        </is>
      </c>
      <c r="C8" s="18" t="inlineStr">
        <is>
          <t>1 · Muy fácil</t>
        </is>
      </c>
      <c r="D8" s="3" t="inlineStr">
        <is>
          <t>Rapid Pools / Grupo Rapid (piscinas, jacuzzis)</t>
        </is>
      </c>
      <c r="E8" s="5" t="inlineStr">
        <is>
          <t>rapid-pools.com / gruporapid.com</t>
        </is>
      </c>
      <c r="F8" s="3" t="inlineStr">
        <is>
          <t>n/d</t>
        </is>
      </c>
      <c r="G8" s="19" t="inlineStr">
        <is>
          <t>+507 6114-9653</t>
        </is>
      </c>
      <c r="H8" s="3" t="inlineStr">
        <is>
          <t>Gilberto Urrutia (owner, LinkedIn)</t>
        </is>
      </c>
      <c r="I8" s="3" t="inlineStr">
        <is>
          <t>Botón 'Solicitar cotización' a WhatsApp; distribuidor Hayward; 3 sucursales (Panamá, Río Hato, David)</t>
        </is>
      </c>
      <c r="J8" s="3" t="inlineStr">
        <is>
          <t>100+ clientes activos; grupo con Rapid Frío y Rapid Pest</t>
        </is>
      </c>
      <c r="K8" s="3" t="inlineStr">
        <is>
          <t>Tres sucursales y tres marcas (piscinas, aire, fumigación) compartiendo un solo WhatsApp: cada lead de piscina de 20 mil compite con una queja de fumigación.</t>
        </is>
      </c>
      <c r="L8" s="6" t="inlineStr">
        <is>
          <t>Pendiente</t>
        </is>
      </c>
      <c r="M8" s="7" t="n"/>
      <c r="N8" s="6" t="n"/>
      <c r="O8" s="6" t="n"/>
      <c r="P8" s="6" t="n"/>
    </row>
    <row r="9" ht="84" customHeight="1">
      <c r="A9" s="3" t="n">
        <v>8</v>
      </c>
      <c r="B9" s="3" t="inlineStr">
        <is>
          <t>Mejoras del hogar (alto ticket)</t>
        </is>
      </c>
      <c r="C9" s="18" t="inlineStr">
        <is>
          <t>1 · Muy fácil</t>
        </is>
      </c>
      <c r="D9" s="3" t="inlineStr">
        <is>
          <t>Casabonitta Design (cocinas, closets, cuarzo)</t>
        </is>
      </c>
      <c r="E9" s="5" t="inlineStr">
        <is>
          <t>casabonittadesign.com (básica)</t>
        </is>
      </c>
      <c r="F9" s="3" t="inlineStr">
        <is>
          <t>@casabonittadesign (26K)</t>
        </is>
      </c>
      <c r="G9" s="19" t="inlineStr">
        <is>
          <t>+507 6278-0450</t>
        </is>
      </c>
      <c r="H9" s="3" t="inlineStr">
        <is>
          <t>No identificado (local en Albrook Mall)</t>
        </is>
      </c>
      <c r="I9" s="3" t="inlineStr">
        <is>
          <t>26K seguidores = inversión fuerte en Instagram; local en mall 10am-8pm</t>
        </is>
      </c>
      <c r="J9" s="3" t="inlineStr">
        <is>
          <t>10+ años</t>
        </is>
      </c>
      <c r="K9" s="3" t="inlineStr">
        <is>
          <t>26 mil seguidores y un local en Albrook, pero cada cotización se pierde en el chat de WhatsApp mientras la web no muestra ni precios ni agenda.</t>
        </is>
      </c>
      <c r="L9" s="6" t="inlineStr">
        <is>
          <t>Pendiente</t>
        </is>
      </c>
      <c r="M9" s="7" t="n"/>
      <c r="N9" s="6" t="n"/>
      <c r="O9" s="6" t="n"/>
      <c r="P9" s="6" t="n"/>
    </row>
    <row r="10" ht="84" customHeight="1">
      <c r="A10" s="3" t="n">
        <v>9</v>
      </c>
      <c r="B10" s="3" t="inlineStr">
        <is>
          <t>Instaladores solares</t>
        </is>
      </c>
      <c r="C10" s="18" t="inlineStr">
        <is>
          <t>1 · Muy fácil</t>
        </is>
      </c>
      <c r="D10" s="3" t="inlineStr">
        <is>
          <t>Solar Power Pat S.A. (Los Pueblos)</t>
        </is>
      </c>
      <c r="E10" s="5" t="inlineStr">
        <is>
          <t>solarpowerpat.net</t>
        </is>
      </c>
      <c r="F10" s="3" t="inlineStr">
        <is>
          <t>FB solar.powerpat; X @SPowerPat; YouTube</t>
        </is>
      </c>
      <c r="G10" s="19" t="inlineStr">
        <is>
          <t>6646-3171; gcomercial@solarpowerpat.com</t>
        </is>
      </c>
      <c r="H10" s="3" t="inlineStr">
        <is>
          <t>Angelo Patiño (fundador y GM desde 2014; LinkedIn)</t>
        </is>
      </c>
      <c r="I10" s="3" t="inlineStr">
        <is>
          <t>Landings SEO por ciudad; promo financiamiento 0%; robot de limpieza SolarCleano</t>
        </is>
      </c>
      <c r="J10" s="3" t="inlineStr">
        <is>
          <t>Desde 2014; Canadian Solar / Jinko</t>
        </is>
      </c>
      <c r="K10" s="3" t="inlineStr">
        <is>
          <t>Publican horario L-V 8-17: el lead de Instagram que escribe viernes noche o sábado no recibe respuesta hasta el lunes.</t>
        </is>
      </c>
      <c r="L10" s="6" t="inlineStr">
        <is>
          <t>Pendiente</t>
        </is>
      </c>
      <c r="M10" s="7" t="n"/>
      <c r="N10" s="6" t="n"/>
      <c r="O10" s="6" t="n"/>
      <c r="P10" s="6" t="n"/>
    </row>
    <row r="11" ht="84" customHeight="1">
      <c r="A11" s="3" t="n">
        <v>10</v>
      </c>
      <c r="B11" s="3" t="inlineStr">
        <is>
          <t>Instaladores solares</t>
        </is>
      </c>
      <c r="C11" s="18" t="inlineStr">
        <is>
          <t>1 · Muy fácil</t>
        </is>
      </c>
      <c r="D11" s="3" t="inlineStr">
        <is>
          <t>Energiza Panamá</t>
        </is>
      </c>
      <c r="E11" s="5" t="inlineStr">
        <is>
          <t>energizapanama.com</t>
        </is>
      </c>
      <c r="F11" s="3" t="inlineStr">
        <is>
          <t>@energiza_panama (2.8K)</t>
        </is>
      </c>
      <c r="G11" s="19" t="inlineStr">
        <is>
          <t>+507 6208-3614; energizapanama@gmail.com</t>
        </is>
      </c>
      <c r="H11" s="3" t="inlineStr">
        <is>
          <t>No identificado (sociedad de ~5 años)</t>
        </is>
      </c>
      <c r="I11" s="3" t="inlineStr">
        <is>
          <t>Instagram activo; financiamiento flexible; trámites con ENSA/Naturgy como argumento</t>
        </is>
      </c>
      <c r="J11" s="3" t="inlineStr">
        <is>
          <t>Desde 2018</t>
        </is>
      </c>
      <c r="K11" s="3" t="inlineStr">
        <is>
          <t>Correo en Gmail y ventas por Instagram: cada DM se contesta a mano y no hay seguimiento al que pidió cotización y no cerró.</t>
        </is>
      </c>
      <c r="L11" s="6" t="inlineStr">
        <is>
          <t>Pendiente</t>
        </is>
      </c>
      <c r="M11" s="7" t="n"/>
      <c r="N11" s="6" t="n"/>
      <c r="O11" s="6" t="n"/>
      <c r="P11" s="6" t="n"/>
    </row>
    <row r="12" ht="84" customHeight="1">
      <c r="A12" s="3" t="n">
        <v>11</v>
      </c>
      <c r="B12" s="3" t="inlineStr">
        <is>
          <t>Instaladores solares</t>
        </is>
      </c>
      <c r="C12" s="18" t="inlineStr">
        <is>
          <t>1 · Muy fácil</t>
        </is>
      </c>
      <c r="D12" s="3" t="inlineStr">
        <is>
          <t>Potencia Solar (Las Mañanitas, Panamá Este)</t>
        </is>
      </c>
      <c r="E12" s="5" t="inlineStr">
        <is>
          <t>potenciasolarinc.com</t>
        </is>
      </c>
      <c r="F12" s="3" t="inlineStr">
        <is>
          <t>n/d</t>
        </is>
      </c>
      <c r="G12" s="19" t="inlineStr">
        <is>
          <t>6440-6680; potenciasolar2025@gmail.com</t>
        </is>
      </c>
      <c r="H12" s="3" t="inlineStr">
        <is>
          <t>No identificado (empresa nueva 2025)</t>
        </is>
      </c>
      <c r="I12" s="3" t="inlineStr">
        <is>
          <t>Proceso 'escríbenos al WhatsApp con tu factura, propuesta, visita técnica'</t>
        </is>
      </c>
      <c r="J12" s="3" t="inlineStr">
        <is>
          <t>Nueva 2025; tramitan planos fotovoltaicos</t>
        </is>
      </c>
      <c r="K12" s="3" t="inlineStr">
        <is>
          <t>Empresa nueva que depende 100% del WhatsApp: el flujo 'envía tu factura' es exactamente lo que un asistente IA hace 24/7 y agenda la visita.</t>
        </is>
      </c>
      <c r="L12" s="6" t="inlineStr">
        <is>
          <t>Pendiente</t>
        </is>
      </c>
      <c r="M12" s="7" t="n"/>
      <c r="N12" s="6" t="n"/>
      <c r="O12" s="6" t="n"/>
      <c r="P12" s="6" t="n"/>
    </row>
    <row r="13" ht="84" customHeight="1">
      <c r="A13" s="3" t="n">
        <v>12</v>
      </c>
      <c r="B13" s="3" t="inlineStr">
        <is>
          <t>Instaladores solares</t>
        </is>
      </c>
      <c r="C13" s="18" t="inlineStr">
        <is>
          <t>1 · Muy fácil</t>
        </is>
      </c>
      <c r="D13" s="3" t="inlineStr">
        <is>
          <t>Powerlink Solar (Av. 5 Sur y Calle 76)</t>
        </is>
      </c>
      <c r="E13" s="5" t="inlineStr">
        <is>
          <t>powerlink.solar</t>
        </is>
      </c>
      <c r="F13" s="3" t="inlineStr">
        <is>
          <t>@powerlink.solar (1.5K)</t>
        </is>
      </c>
      <c r="G13" s="19" t="inlineStr">
        <is>
          <t>+507 6288-8940; tel 6295-8694</t>
        </is>
      </c>
      <c r="H13" s="3" t="inlineStr">
        <is>
          <t>Camilo Amado (CEO; LinkedIn)</t>
        </is>
      </c>
      <c r="I13" s="3" t="inlineStr">
        <is>
          <t>Mucho contenido SEO ('precio panel solar'); financiamiento propio; casos de éxito</t>
        </is>
      </c>
      <c r="J13" s="3" t="inlineStr">
        <is>
          <t>30 años en ingeniería eléctrica; comercial hasta 486 paneles</t>
        </is>
      </c>
      <c r="K13" s="3" t="inlineStr">
        <is>
          <t>Invierten en SEO y financiamiento propio pero el WhatsApp es un celular: nadie califica el lead ni le pide la factura automáticamente.</t>
        </is>
      </c>
      <c r="L13" s="6" t="inlineStr">
        <is>
          <t>Pendiente</t>
        </is>
      </c>
      <c r="M13" s="7" t="n"/>
      <c r="N13" s="6" t="n"/>
      <c r="O13" s="6" t="n"/>
      <c r="P13" s="6" t="n"/>
    </row>
    <row r="14" ht="84" customHeight="1">
      <c r="A14" s="3" t="n">
        <v>13</v>
      </c>
      <c r="B14" s="3" t="inlineStr">
        <is>
          <t>Bodas y eventos</t>
        </is>
      </c>
      <c r="C14" s="18" t="inlineStr">
        <is>
          <t>1 · Muy fácil</t>
        </is>
      </c>
      <c r="D14" s="3" t="inlineStr">
        <is>
          <t>Hacienda del Alma (finca venue, Punta Barco)</t>
        </is>
      </c>
      <c r="E14" s="3" t="inlineStr">
        <is>
          <t>sin web propia / ficha en ineventos.pa</t>
        </is>
      </c>
      <c r="F14" s="3" t="inlineStr">
        <is>
          <t>n/d</t>
        </is>
      </c>
      <c r="G14" s="19" t="inlineStr">
        <is>
          <t>6550-1269 (WhatsApp)</t>
        </is>
      </c>
      <c r="H14" s="3" t="inlineStr">
        <is>
          <t>Carolyne Vergara</t>
        </is>
      </c>
      <c r="I14" s="3" t="inlineStr">
        <is>
          <t>Ficha pagada en ineventos.pa; alquiler de casa completa para bodas, XV, corporativos</t>
        </is>
      </c>
      <c r="J14" s="3" t="inlineStr">
        <is>
          <t>A dos minutos de Coronado</t>
        </is>
      </c>
      <c r="K14" s="3" t="inlineStr">
        <is>
          <t>Una finca sin web: la novia solo sabe que existe si alguien le contesta el WhatsApp; con web y asistente, 'disponibilidad para el 14 de marzo' se responde en segundos.</t>
        </is>
      </c>
      <c r="L14" s="6" t="inlineStr">
        <is>
          <t>Pendiente</t>
        </is>
      </c>
      <c r="M14" s="7" t="n"/>
      <c r="N14" s="6" t="n"/>
      <c r="O14" s="6" t="n"/>
      <c r="P14" s="6" t="n"/>
    </row>
    <row r="15" ht="84" customHeight="1">
      <c r="A15" s="3" t="n">
        <v>14</v>
      </c>
      <c r="B15" s="3" t="inlineStr">
        <is>
          <t>Bodas y eventos</t>
        </is>
      </c>
      <c r="C15" s="18" t="inlineStr">
        <is>
          <t>1 · Muy fácil</t>
        </is>
      </c>
      <c r="D15" s="3" t="inlineStr">
        <is>
          <t>Agasajos Chez Marie (catering de bodas)</t>
        </is>
      </c>
      <c r="E15" s="5" t="inlineStr">
        <is>
          <t>chez-marie.com</t>
        </is>
      </c>
      <c r="F15" s="3" t="inlineStr">
        <is>
          <t>FB @chezmariepty</t>
        </is>
      </c>
      <c r="G15" s="19" t="inlineStr">
        <is>
          <t>WhatsApp 6200-9420; tel 269-3621 (Obarrio)</t>
        </is>
      </c>
      <c r="H15" s="3" t="inlineStr">
        <is>
          <t>María Estela Herbruger (fundadora)</t>
        </is>
      </c>
      <c r="I15" s="3" t="inlineStr">
        <is>
          <t>Landing 'Catering para bodas'; fichas en ineventos.com y proveedorespanama.com</t>
        </is>
      </c>
      <c r="J15" s="3" t="inlineStr">
        <is>
          <t>Desde 1991 (30+ años)</t>
        </is>
      </c>
      <c r="K15" s="3" t="inlineStr">
        <is>
          <t>33 años de reputación y una web que no agenda degustaciones: cada novia pide menú por WhatsApp y espera horas la cotización.</t>
        </is>
      </c>
      <c r="L15" s="6" t="inlineStr">
        <is>
          <t>Pendiente</t>
        </is>
      </c>
      <c r="M15" s="7" t="n"/>
      <c r="N15" s="6" t="n"/>
      <c r="O15" s="6" t="n"/>
      <c r="P15" s="6" t="n"/>
    </row>
    <row r="16" ht="84" customHeight="1">
      <c r="A16" s="3" t="n">
        <v>15</v>
      </c>
      <c r="B16" s="3" t="inlineStr">
        <is>
          <t>Bodas y eventos</t>
        </is>
      </c>
      <c r="C16" s="18" t="inlineStr">
        <is>
          <t>1 · Muy fácil</t>
        </is>
      </c>
      <c r="D16" s="3" t="inlineStr">
        <is>
          <t>Guedes Photographers (fotógrafos de boda)</t>
        </is>
      </c>
      <c r="E16" s="5" t="inlineStr">
        <is>
          <t>guedesphotographers.com</t>
        </is>
      </c>
      <c r="F16" s="3" t="inlineStr">
        <is>
          <t>@guedesphotographers</t>
        </is>
      </c>
      <c r="G16" s="19" t="inlineStr">
        <is>
          <t>6384-0845 (WhatsApp)</t>
        </is>
      </c>
      <c r="H16" s="3" t="inlineStr">
        <is>
          <t>Fabi y Miguel Guedes</t>
        </is>
      </c>
      <c r="I16" s="3" t="inlineStr">
        <is>
          <t>MyWed top 3 Panamá, Wezoree; blog SEO; tarifas publicadas desde US$250/h</t>
        </is>
      </c>
      <c r="J16" s="3" t="inlineStr">
        <is>
          <t>Pinterest, YouTube</t>
        </is>
      </c>
      <c r="K16" s="3" t="inlineStr">
        <is>
          <t>Ya publican precio por hora: el asistente puede filtrar fecha y presupuesto y mandar el portafolio al instante mientras ellos editan.</t>
        </is>
      </c>
      <c r="L16" s="6" t="inlineStr">
        <is>
          <t>Pendiente</t>
        </is>
      </c>
      <c r="M16" s="7" t="n"/>
      <c r="N16" s="6" t="n"/>
      <c r="O16" s="6" t="n"/>
      <c r="P16" s="6" t="n"/>
    </row>
    <row r="17" ht="84" customHeight="1">
      <c r="A17" s="3" t="n">
        <v>16</v>
      </c>
      <c r="B17" s="3" t="inlineStr">
        <is>
          <t>Bodas y eventos</t>
        </is>
      </c>
      <c r="C17" s="18" t="inlineStr">
        <is>
          <t>1 · Muy fácil</t>
        </is>
      </c>
      <c r="D17" s="3" t="inlineStr">
        <is>
          <t>Carlos Yap Wedding Films (videógrafo)</t>
        </is>
      </c>
      <c r="E17" s="5" t="inlineStr">
        <is>
          <t>carlosyap.com</t>
        </is>
      </c>
      <c r="F17" s="3" t="inlineStr">
        <is>
          <t>@carlosyap_ (24K)</t>
        </is>
      </c>
      <c r="G17" s="19" t="inlineStr">
        <is>
          <t>6676-1031; info@carlosyap.com</t>
        </is>
      </c>
      <c r="H17" s="3" t="inlineStr">
        <is>
          <t>Carlos Yap</t>
        </is>
      </c>
      <c r="I17" s="3" t="inlineStr">
        <is>
          <t>Wezoree Top 5 Panamá, Top 100 global</t>
        </is>
      </c>
      <c r="J17" s="3" t="inlineStr">
        <is>
          <t>10+ años; 90+ bodas</t>
        </is>
      </c>
      <c r="K17" s="3" t="inlineStr">
        <is>
          <t>Cuando Carlos está grabando una boda no puede contestar; justo ese sábado es cuando más parejas comprometidas escriben.</t>
        </is>
      </c>
      <c r="L17" s="6" t="inlineStr">
        <is>
          <t>Pendiente</t>
        </is>
      </c>
      <c r="M17" s="7" t="n"/>
      <c r="N17" s="6" t="n"/>
      <c r="O17" s="6" t="n"/>
      <c r="P17" s="6" t="n"/>
    </row>
    <row r="18" ht="84" customHeight="1">
      <c r="A18" s="3" t="n">
        <v>17</v>
      </c>
      <c r="B18" s="3" t="inlineStr">
        <is>
          <t>Agentes y alquiler corto</t>
        </is>
      </c>
      <c r="C18" s="18" t="inlineStr">
        <is>
          <t>1 · Muy fácil</t>
        </is>
      </c>
      <c r="D18" s="3" t="inlineStr">
        <is>
          <t>Rentyfive (Marcela Macías) · administradora</t>
        </is>
      </c>
      <c r="E18" s="5" t="inlineStr">
        <is>
          <t>rentyfive.com + linktr.ee/marcelamacias_rentyfive</t>
        </is>
      </c>
      <c r="F18" s="3" t="inlineStr">
        <is>
          <t>@marcelamacias_rentyfive</t>
        </is>
      </c>
      <c r="G18" s="19" t="inlineStr">
        <is>
          <t>+507 6877-0777 / 6723-4323; info@myrentyfive.com</t>
        </is>
      </c>
      <c r="H18" s="3" t="inlineStr">
        <is>
          <t>Marcela Macías (fundadora, marca personal)</t>
        </is>
      </c>
      <c r="I18" s="3" t="inlineStr">
        <is>
          <t>Linktree, IG personal, web bilingüe</t>
        </is>
      </c>
      <c r="J18" s="3" t="inlineStr">
        <is>
          <t>25+ propiedades; Superhost 4.9; desde 2018</t>
        </is>
      </c>
      <c r="K18" s="3" t="inlineStr">
        <is>
          <t>Con 25 propiedades, cada consulta de 'disponibilidad y precio' que llega de noche por WhatsApp es una reserva que se va a Booking.</t>
        </is>
      </c>
      <c r="L18" s="6" t="inlineStr">
        <is>
          <t>Pendiente</t>
        </is>
      </c>
      <c r="M18" s="7" t="n"/>
      <c r="N18" s="6" t="n"/>
      <c r="O18" s="6" t="n"/>
      <c r="P18" s="6" t="n"/>
    </row>
    <row r="19" ht="84" customHeight="1">
      <c r="A19" s="3" t="n">
        <v>18</v>
      </c>
      <c r="B19" s="3" t="inlineStr">
        <is>
          <t>Agentes y alquiler corto</t>
        </is>
      </c>
      <c r="C19" s="18" t="inlineStr">
        <is>
          <t>1 · Muy fácil</t>
        </is>
      </c>
      <c r="D19" s="3" t="inlineStr">
        <is>
          <t>Aldo Stagnaro · agente</t>
        </is>
      </c>
      <c r="E19" s="5" t="inlineStr">
        <is>
          <t>aldostagnaro.com</t>
        </is>
      </c>
      <c r="F19" s="3" t="inlineStr">
        <is>
          <t>@aldostagnaro</t>
        </is>
      </c>
      <c r="G19" s="19" t="inlineStr">
        <is>
          <t>+507 6674-8054 (WA); oficina 223-6899</t>
        </is>
      </c>
      <c r="H19" s="3" t="inlineStr">
        <is>
          <t>Aldo Stagnaro (oficina propia con su esposa Cristina; ex presidente de ACOBIR)</t>
        </is>
      </c>
      <c r="I19" s="3" t="inlineStr">
        <is>
          <t>Podcast 'Compradores Inmobiliarios' (4 temporadas), YouTube, TikTok, MLS ACOBIR</t>
        </is>
      </c>
      <c r="J19" s="3" t="inlineStr">
        <is>
          <t>22-27 años; citado en La Prensa</t>
        </is>
      </c>
      <c r="K19" s="3" t="inlineStr">
        <is>
          <t>Usted produce podcast, YouTube y TikTok, pero cada oyente que escribe de noche cae en el mismo WhatsApp de tres personas que están en showings.</t>
        </is>
      </c>
      <c r="L19" s="6" t="inlineStr">
        <is>
          <t>Pendiente</t>
        </is>
      </c>
      <c r="M19" s="7" t="n"/>
      <c r="N19" s="6" t="n"/>
      <c r="O19" s="6" t="n"/>
      <c r="P19" s="6" t="n"/>
    </row>
    <row r="20" ht="84" customHeight="1">
      <c r="A20" s="3" t="n">
        <v>19</v>
      </c>
      <c r="B20" s="3" t="inlineStr">
        <is>
          <t>Agentes y alquiler corto</t>
        </is>
      </c>
      <c r="C20" s="18" t="inlineStr">
        <is>
          <t>1 · Muy fácil</t>
        </is>
      </c>
      <c r="D20" s="3" t="inlineStr">
        <is>
          <t>DM Real Estate Panamá · agente independiente</t>
        </is>
      </c>
      <c r="E20" s="3" t="inlineStr">
        <is>
          <t>sin web / solo IG + Threads + YouTube</t>
        </is>
      </c>
      <c r="F20" s="3" t="inlineStr">
        <is>
          <t>@dmrealestatepanama (14K) + @dmluxuryrealestatepty</t>
        </is>
      </c>
      <c r="G20" s="19" t="inlineStr">
        <is>
          <t>+507 6244-0638 (wa.me)</t>
        </is>
      </c>
      <c r="H20" s="3" t="inlineStr">
        <is>
          <t>No visible (12 años de experiencia)</t>
        </is>
      </c>
      <c r="I20" s="3" t="inlineStr">
        <is>
          <t>Perfil pago de agente en encuentra24; dos cuentas IG; YouTube</t>
        </is>
      </c>
      <c r="J20" s="3" t="inlineStr">
        <is>
          <t>12 años</t>
        </is>
      </c>
      <c r="K20" s="3" t="inlineStr">
        <is>
          <t>14 mil seguidores y cero web: cada lead de reel termina en un DM manual que nadie califica por presupuesto ni zona.</t>
        </is>
      </c>
      <c r="L20" s="6" t="inlineStr">
        <is>
          <t>Pendiente</t>
        </is>
      </c>
      <c r="M20" s="7" t="n"/>
      <c r="N20" s="6" t="n"/>
      <c r="O20" s="6" t="n"/>
      <c r="P20" s="6" t="n"/>
    </row>
    <row r="21" ht="84" customHeight="1">
      <c r="A21" s="3" t="n">
        <v>20</v>
      </c>
      <c r="B21" s="3" t="inlineStr">
        <is>
          <t>Agentes y alquiler corto</t>
        </is>
      </c>
      <c r="C21" s="18" t="inlineStr">
        <is>
          <t>1 · Muy fácil</t>
        </is>
      </c>
      <c r="D21" s="3" t="inlineStr">
        <is>
          <t>Panama Sarah / Panama Holiday Homes (Coronado) · administradora</t>
        </is>
      </c>
      <c r="E21" s="5" t="inlineStr">
        <is>
          <t>panamasarah.com</t>
        </is>
      </c>
      <c r="F21" s="3" t="inlineStr">
        <is>
          <t>n/d</t>
        </is>
      </c>
      <c r="G21" s="19" t="inlineStr">
        <is>
          <t>+507 6671-1444 (WA)</t>
        </is>
      </c>
      <c r="H21" s="3" t="inlineStr">
        <is>
          <t>Sarah</t>
        </is>
      </c>
      <c r="I21" s="3" t="inlineStr">
        <is>
          <t>Airbnb, VRBO, TripAdvisor</t>
        </is>
      </c>
      <c r="J21" s="3" t="inlineStr">
        <is>
          <t>Superhost; VRBO Premier Host; TripAdvisor Certificate of Excellence; 18 años en Panamá</t>
        </is>
      </c>
      <c r="K21" s="3" t="inlineStr">
        <is>
          <t>Superhost en tres plataformas, pero su web no reserva directo ni responde sola: paga 15% de comisión por huéspedes que ya la buscan por nombre.</t>
        </is>
      </c>
      <c r="L21" s="6" t="inlineStr">
        <is>
          <t>Pendiente</t>
        </is>
      </c>
      <c r="M21" s="7" t="n"/>
      <c r="N21" s="6" t="n"/>
      <c r="O21" s="6" t="n"/>
      <c r="P21" s="6" t="n"/>
    </row>
    <row r="22" ht="84" customHeight="1">
      <c r="A22" s="3" t="n">
        <v>21</v>
      </c>
      <c r="B22" s="3" t="inlineStr">
        <is>
          <t>Autos seminuevos premium</t>
        </is>
      </c>
      <c r="C22" s="6" t="inlineStr">
        <is>
          <t>2 · Fácil</t>
        </is>
      </c>
      <c r="D22" s="3" t="inlineStr">
        <is>
          <t>Super Autos Panamá (Vía España / Vía Porras)</t>
        </is>
      </c>
      <c r="E22" s="5" t="inlineStr">
        <is>
          <t>superautospanama.com</t>
        </is>
      </c>
      <c r="F22" s="3" t="inlineStr">
        <is>
          <t>@superautospty (69K); TikTok 11K</t>
        </is>
      </c>
      <c r="G22" s="19" t="inlineStr">
        <is>
          <t>WhatsApp 6013-2000 / 6023-3708 / 6015-5554; Publicidad@superautospty.net</t>
        </is>
      </c>
      <c r="H22" s="3" t="inlineStr">
        <is>
          <t>No identificado</t>
        </is>
      </c>
      <c r="I22" s="3" t="inlineStr">
        <is>
          <t>Correo 'Publicidad@' = presupuesto de pauta; 6 páginas en encuentra24; TikTok activo</t>
        </is>
      </c>
      <c r="J22" s="3" t="inlineStr">
        <is>
          <t>Dos sucursales; inventario amplio</t>
        </is>
      </c>
      <c r="K22" s="3" t="inlineStr">
        <is>
          <t>69K seguidores y tres números de WhatsApp distintos: nadie sabe cuál lead ya se atendió ni quién hizo seguimiento.</t>
        </is>
      </c>
      <c r="L22" s="6" t="inlineStr">
        <is>
          <t>Pendiente</t>
        </is>
      </c>
      <c r="M22" s="7" t="n"/>
      <c r="N22" s="6" t="n"/>
      <c r="O22" s="6" t="n"/>
      <c r="P22" s="6" t="n"/>
    </row>
    <row r="23" ht="84" customHeight="1">
      <c r="A23" s="3" t="n">
        <v>22</v>
      </c>
      <c r="B23" s="3" t="inlineStr">
        <is>
          <t>Autos seminuevos premium</t>
        </is>
      </c>
      <c r="C23" s="6" t="inlineStr">
        <is>
          <t>2 · Fácil</t>
        </is>
      </c>
      <c r="D23" s="3" t="inlineStr">
        <is>
          <t>Full Cars Panamá (Vía Israel / San Francisco)</t>
        </is>
      </c>
      <c r="E23" s="5" t="inlineStr">
        <is>
          <t>fullcarspanama.com</t>
        </is>
      </c>
      <c r="F23" s="3" t="inlineStr">
        <is>
          <t>Facebook 13K; IG @_fullcars__</t>
        </is>
      </c>
      <c r="G23" s="19" t="inlineStr">
        <is>
          <t>+507 6671-2525; ventas@fullcarspanama.com</t>
        </is>
      </c>
      <c r="H23" s="3" t="inlineStr">
        <is>
          <t>Claudio Downs (presidente, desde 2009)</t>
        </is>
      </c>
      <c r="I23" s="3" t="inlineStr">
        <is>
          <t>Web con calculadora de avalúo y páginas SEO por marca; encuentra24</t>
        </is>
      </c>
      <c r="J23" s="3" t="inlineStr">
        <is>
          <t>Facebook 96% recomendado (17 reseñas); dos sucursales; garantía 6 meses</t>
        </is>
      </c>
      <c r="K23" s="3" t="inlineStr">
        <is>
          <t>Invierten en SEO y calculadora de avalúo, pero el que llena el formulario a las 9 pm recibe respuesta humana al otro día.</t>
        </is>
      </c>
      <c r="L23" s="6" t="inlineStr">
        <is>
          <t>Pendiente</t>
        </is>
      </c>
      <c r="M23" s="7" t="n"/>
      <c r="N23" s="6" t="n"/>
      <c r="O23" s="6" t="n"/>
      <c r="P23" s="6" t="n"/>
    </row>
    <row r="24" ht="84" customHeight="1">
      <c r="A24" s="3" t="n">
        <v>23</v>
      </c>
      <c r="B24" s="3" t="inlineStr">
        <is>
          <t>Autos seminuevos premium</t>
        </is>
      </c>
      <c r="C24" s="6" t="inlineStr">
        <is>
          <t>2 · Fácil</t>
        </is>
      </c>
      <c r="D24" s="3" t="inlineStr">
        <is>
          <t>Autos Usados Panamá (Juan Díaz / Brisas)</t>
        </is>
      </c>
      <c r="E24" s="5" t="inlineStr">
        <is>
          <t>autosusadospanama.com</t>
        </is>
      </c>
      <c r="F24" s="3" t="inlineStr">
        <is>
          <t>@autosusadospa (52K); Threads</t>
        </is>
      </c>
      <c r="G24" s="19" t="inlineStr">
        <is>
          <t>WhatsApp 6509-9864 / 6669-5101; ventas@autosusadospanama.com</t>
        </is>
      </c>
      <c r="H24" s="3" t="inlineStr">
        <is>
          <t>No identificado</t>
        </is>
      </c>
      <c r="I24" s="3" t="inlineStr">
        <is>
          <t>'Financiamiento disponible' en bio; trade-in</t>
        </is>
      </c>
      <c r="J24" s="3" t="inlineStr">
        <is>
          <t>Horario L-V 9-5, sáb 9-4</t>
        </is>
      </c>
      <c r="K24" s="3" t="inlineStr">
        <is>
          <t>52K seguidores en Instagram y cierran a las 5 pm: dos tercios de los mensajes llegan cuando no hay nadie.</t>
        </is>
      </c>
      <c r="L24" s="6" t="inlineStr">
        <is>
          <t>Pendiente</t>
        </is>
      </c>
      <c r="M24" s="7" t="n"/>
      <c r="N24" s="6" t="n"/>
      <c r="O24" s="6" t="n"/>
      <c r="P24" s="6" t="n"/>
    </row>
    <row r="25" ht="84" customHeight="1">
      <c r="A25" s="3" t="n">
        <v>24</v>
      </c>
      <c r="B25" s="3" t="inlineStr">
        <is>
          <t>Autos seminuevos premium</t>
        </is>
      </c>
      <c r="C25" s="6" t="inlineStr">
        <is>
          <t>2 · Fácil</t>
        </is>
      </c>
      <c r="D25" s="3" t="inlineStr">
        <is>
          <t>Carspot Panamá (Tumba Muerto + Cincuentenario + Chiriquí)</t>
        </is>
      </c>
      <c r="E25" s="5" t="inlineStr">
        <is>
          <t>carspotpanama.com</t>
        </is>
      </c>
      <c r="F25" s="3" t="inlineStr">
        <is>
          <t>@carspotpanama</t>
        </is>
      </c>
      <c r="G25" s="19" t="inlineStr">
        <is>
          <t>WhatsApp 6894-4194 / 6896-2851; chat 6642-8284; tel 236-0091; info@carspotpanama.com</t>
        </is>
      </c>
      <c r="H25" s="3" t="inlineStr">
        <is>
          <t>Moisés R. Novoa (usuario encuentra24 con 11 páginas de anuncios)</t>
        </is>
      </c>
      <c r="I25" s="3" t="inlineStr">
        <is>
          <t>11 páginas en encuentra24 (paquete premium); financiamiento</t>
        </is>
      </c>
      <c r="J25" s="3" t="inlineStr">
        <is>
          <t>15-21 años; tres sucursales</t>
        </is>
      </c>
      <c r="K25" s="3" t="inlineStr">
        <is>
          <t>Pagan paquete grande en encuentra24 y reparten los leads entre cuatro celulares: nadie mide cuántos se convierten.</t>
        </is>
      </c>
      <c r="L25" s="6" t="inlineStr">
        <is>
          <t>Pendiente</t>
        </is>
      </c>
      <c r="M25" s="7" t="n"/>
      <c r="N25" s="6" t="n"/>
      <c r="O25" s="6" t="n"/>
      <c r="P25" s="6" t="n"/>
    </row>
    <row r="26" ht="84" customHeight="1">
      <c r="A26" s="3" t="n">
        <v>25</v>
      </c>
      <c r="B26" s="3" t="inlineStr">
        <is>
          <t>Autos seminuevos premium</t>
        </is>
      </c>
      <c r="C26" s="6" t="inlineStr">
        <is>
          <t>2 · Fácil</t>
        </is>
      </c>
      <c r="D26" s="3" t="inlineStr">
        <is>
          <t>Champion Motors (Transístmica)</t>
        </is>
      </c>
      <c r="E26" s="5" t="inlineStr">
        <is>
          <t>championmotors.com.pa</t>
        </is>
      </c>
      <c r="F26" s="3" t="inlineStr">
        <is>
          <t>@championmotorspanama (110K)</t>
        </is>
      </c>
      <c r="G26" s="19" t="inlineStr">
        <is>
          <t>WhatsApp +507 6673-4508; tel 260-1461</t>
        </is>
      </c>
      <c r="H26" s="3" t="inlineStr">
        <is>
          <t>No identificado</t>
        </is>
      </c>
      <c r="I26" s="3" t="inlineStr">
        <is>
          <t>Financiamiento 'aprobación en 24 h'; inspección 100+ puntos; encuentra24</t>
        </is>
      </c>
      <c r="J26" s="3" t="inlineStr">
        <is>
          <t>Google 4.8 (127 reseñas); 23 años</t>
        </is>
      </c>
      <c r="K26" s="3" t="inlineStr">
        <is>
          <t>110K seguidores y prometen aprobación en 24 horas: el bot puede precalificar el crédito en dos minutos antes de que el vendedor levante el teléfono.</t>
        </is>
      </c>
      <c r="L26" s="6" t="inlineStr">
        <is>
          <t>Pendiente</t>
        </is>
      </c>
      <c r="M26" s="7" t="n"/>
      <c r="N26" s="6" t="n"/>
      <c r="O26" s="6" t="n"/>
      <c r="P26" s="6" t="n"/>
    </row>
    <row r="27" ht="84" customHeight="1">
      <c r="A27" s="3" t="n">
        <v>26</v>
      </c>
      <c r="B27" s="3" t="inlineStr">
        <is>
          <t>Mejoras del hogar (alto ticket)</t>
        </is>
      </c>
      <c r="C27" s="6" t="inlineStr">
        <is>
          <t>2 · Fácil</t>
        </is>
      </c>
      <c r="D27" s="3" t="inlineStr">
        <is>
          <t>Arte Cocinas S.A.</t>
        </is>
      </c>
      <c r="E27" s="5" t="inlineStr">
        <is>
          <t>artecocinas.net + landing cocinas.artecocinas.net</t>
        </is>
      </c>
      <c r="F27" s="3" t="inlineStr">
        <is>
          <t>@artecocinas.s.a (4.7K)</t>
        </is>
      </c>
      <c r="G27" s="19" t="inlineStr">
        <is>
          <t>+507 6568-1896; tel 396-5663; ventas@artecocinas.net</t>
        </is>
      </c>
      <c r="H27" s="3" t="inlineStr">
        <is>
          <t>No identificado</t>
        </is>
      </c>
      <c r="I27" s="3" t="inlineStr">
        <is>
          <t>Landing separada (típico de campañas de Ads); ficha pagada en Construex</t>
        </is>
      </c>
      <c r="J27" s="3" t="inlineStr">
        <is>
          <t>15+ años</t>
        </is>
      </c>
      <c r="K27" s="3" t="inlineStr">
        <is>
          <t>Pagan una landing para captar leads de cocinas y luego los mandan a un WhatsApp sin seguimiento ni recordatorio de visita.</t>
        </is>
      </c>
      <c r="L27" s="6" t="inlineStr">
        <is>
          <t>Pendiente</t>
        </is>
      </c>
      <c r="M27" s="7" t="n"/>
      <c r="N27" s="6" t="n"/>
      <c r="O27" s="6" t="n"/>
      <c r="P27" s="6" t="n"/>
    </row>
    <row r="28" ht="84" customHeight="1">
      <c r="A28" s="3" t="n">
        <v>27</v>
      </c>
      <c r="B28" s="3" t="inlineStr">
        <is>
          <t>Mejoras del hogar (alto ticket)</t>
        </is>
      </c>
      <c r="C28" s="6" t="inlineStr">
        <is>
          <t>2 · Fácil</t>
        </is>
      </c>
      <c r="D28" s="3" t="inlineStr">
        <is>
          <t>Maobe Muebles (cocinas modulares, closets)</t>
        </is>
      </c>
      <c r="E28" s="5" t="inlineStr">
        <is>
          <t>maobemuebles.com (blog SEO activo)</t>
        </is>
      </c>
      <c r="F28" s="3" t="inlineStr">
        <is>
          <t>@maobemueblespanama</t>
        </is>
      </c>
      <c r="G28" s="19" t="inlineStr">
        <is>
          <t>+507 6938-4466; tel 318-1238</t>
        </is>
      </c>
      <c r="H28" s="3" t="inlineStr">
        <is>
          <t>No identificado (Brisas del Golf)</t>
        </is>
      </c>
      <c r="I28" s="3" t="inlineStr">
        <is>
          <t>Blog SEO + ficha Construex + 'consulta online y visita a domicilio'</t>
        </is>
      </c>
      <c r="J28" s="3" t="inlineStr">
        <is>
          <t>Proyectos residenciales y oficinas</t>
        </is>
      </c>
      <c r="K28" s="3" t="inlineStr">
        <is>
          <t>Invierten en blog y SEO, pero el lead que llega a las 9 pm por WhatsApp espera hasta el día siguiente para saber si pueden medir.</t>
        </is>
      </c>
      <c r="L28" s="6" t="inlineStr">
        <is>
          <t>Pendiente</t>
        </is>
      </c>
      <c r="M28" s="7" t="n"/>
      <c r="N28" s="6" t="n"/>
      <c r="O28" s="6" t="n"/>
      <c r="P28" s="6" t="n"/>
    </row>
    <row r="29" ht="84" customHeight="1">
      <c r="A29" s="3" t="n">
        <v>28</v>
      </c>
      <c r="B29" s="3" t="inlineStr">
        <is>
          <t>Mejoras del hogar (alto ticket)</t>
        </is>
      </c>
      <c r="C29" s="6" t="inlineStr">
        <is>
          <t>2 · Fácil</t>
        </is>
      </c>
      <c r="D29" s="3" t="inlineStr">
        <is>
          <t>Ventanas Vigil / Crialvi (aluminio y vidrio templado)</t>
        </is>
      </c>
      <c r="E29" s="5" t="inlineStr">
        <is>
          <t>ventanasvigil.com</t>
        </is>
      </c>
      <c r="F29" s="3" t="inlineStr">
        <is>
          <t>FB ventanasvigil</t>
        </is>
      </c>
      <c r="G29" s="19" t="inlineStr">
        <is>
          <t>+507 6017-7949; tel 258-1599; ventascrialvi.sa@gmail.com</t>
        </is>
      </c>
      <c r="H29" s="3" t="inlineStr">
        <is>
          <t>Familia Vigil</t>
        </is>
      </c>
      <c r="I29" s="3" t="inlineStr">
        <is>
          <t>'Cotiza por WhatsApp' en web y Facebook; cobertura Panamá + La Chorrera</t>
        </is>
      </c>
      <c r="J29" s="3" t="inlineStr">
        <is>
          <t>14-15 años; fábrica propia</t>
        </is>
      </c>
      <c r="K29" s="3" t="inlineStr">
        <is>
          <t>Fábrica con 15 años y dos zonas de cobertura, pero el cliente aún tiene que mandar medidas por WhatsApp y esperar a que alguien del taller responda.</t>
        </is>
      </c>
      <c r="L29" s="6" t="inlineStr">
        <is>
          <t>Pendiente</t>
        </is>
      </c>
      <c r="M29" s="7" t="n"/>
      <c r="N29" s="6" t="n"/>
      <c r="O29" s="6" t="n"/>
      <c r="P29" s="6" t="n"/>
    </row>
    <row r="30" ht="84" customHeight="1">
      <c r="A30" s="3" t="n">
        <v>29</v>
      </c>
      <c r="B30" s="3" t="inlineStr">
        <is>
          <t>Mejoras del hogar (alto ticket)</t>
        </is>
      </c>
      <c r="C30" s="6" t="inlineStr">
        <is>
          <t>2 · Fácil</t>
        </is>
      </c>
      <c r="D30" s="3" t="inlineStr">
        <is>
          <t>The Glass House Panamá (puertas de baño templadas, barandas)</t>
        </is>
      </c>
      <c r="E30" s="5" t="inlineStr">
        <is>
          <t>theglasshousepanama.com (tienda online)</t>
        </is>
      </c>
      <c r="F30" s="3" t="inlineStr">
        <is>
          <t>TikTok @theglasshousepanama</t>
        </is>
      </c>
      <c r="G30" s="19" t="inlineStr">
        <is>
          <t>6002-4099; contacto@theglasshousepanama.com</t>
        </is>
      </c>
      <c r="H30" s="3" t="inlineStr">
        <is>
          <t>No identificado (Parque Lefevre)</t>
        </is>
      </c>
      <c r="I30" s="3" t="inlineStr">
        <is>
          <t>TikTok con hashtags de Costa del Este y Paitilla; tienda online</t>
        </is>
      </c>
      <c r="J30" s="3" t="inlineStr">
        <is>
          <t>n/d</t>
        </is>
      </c>
      <c r="K30" s="3" t="inlineStr">
        <is>
          <t>Hacen videos en TikTok para Paitilla y Costa del Este, pero la cotización de una puerta de baño sigue dependiendo de que alguien lea el WhatsApp.</t>
        </is>
      </c>
      <c r="L30" s="6" t="inlineStr">
        <is>
          <t>Pendiente</t>
        </is>
      </c>
      <c r="M30" s="7" t="n"/>
      <c r="N30" s="6" t="n"/>
      <c r="O30" s="6" t="n"/>
      <c r="P30" s="6" t="n"/>
    </row>
    <row r="31" ht="84" customHeight="1">
      <c r="A31" s="3" t="n">
        <v>30</v>
      </c>
      <c r="B31" s="3" t="inlineStr">
        <is>
          <t>Mejoras del hogar (alto ticket)</t>
        </is>
      </c>
      <c r="C31" s="6" t="inlineStr">
        <is>
          <t>2 · Fácil</t>
        </is>
      </c>
      <c r="D31" s="3" t="inlineStr">
        <is>
          <t>Remodela Panamá (Proyectos Castañedas)</t>
        </is>
      </c>
      <c r="E31" s="5" t="inlineStr">
        <is>
          <t>remodelapanama.com + remodelapma.com</t>
        </is>
      </c>
      <c r="F31" s="3" t="inlineStr">
        <is>
          <t>@remodelapanama</t>
        </is>
      </c>
      <c r="G31" s="19" t="inlineStr">
        <is>
          <t>+507 6724-5390</t>
        </is>
      </c>
      <c r="H31" s="3" t="inlineStr">
        <is>
          <t>Familia Castañeda</t>
        </is>
      </c>
      <c r="I31" s="3" t="inlineStr">
        <is>
          <t>Dos dominios + blog de precios 2025; 'cotiza por WhatsApp e Instagram'</t>
        </is>
      </c>
      <c r="J31" s="3" t="inlineStr">
        <is>
          <t>20+ años</t>
        </is>
      </c>
      <c r="K31" s="3" t="inlineStr">
        <is>
          <t>Escriben blogs de '¿cuánto cuesta remodelar?' para atraer tráfico y luego el visitante termina en un WhatsApp que no califica ni agenda la visita técnica.</t>
        </is>
      </c>
      <c r="L31" s="6" t="inlineStr">
        <is>
          <t>Pendiente</t>
        </is>
      </c>
      <c r="M31" s="7" t="n"/>
      <c r="N31" s="6" t="n"/>
      <c r="O31" s="6" t="n"/>
      <c r="P31" s="6" t="n"/>
    </row>
    <row r="32" ht="84" customHeight="1">
      <c r="A32" s="3" t="n">
        <v>31</v>
      </c>
      <c r="B32" s="3" t="inlineStr">
        <is>
          <t>Mejoras del hogar (alto ticket)</t>
        </is>
      </c>
      <c r="C32" s="6" t="inlineStr">
        <is>
          <t>2 · Fácil</t>
        </is>
      </c>
      <c r="D32" s="3" t="inlineStr">
        <is>
          <t>Renovation PA (remodelación llave en mano, Airbnb, playa)</t>
        </is>
      </c>
      <c r="E32" s="5" t="inlineStr">
        <is>
          <t>renovationpa.com</t>
        </is>
      </c>
      <c r="F32" s="3" t="inlineStr">
        <is>
          <t>@renovationpa</t>
        </is>
      </c>
      <c r="G32" s="19" t="inlineStr">
        <is>
          <t>+507 6584-7309</t>
        </is>
      </c>
      <c r="H32" s="3" t="inlineStr">
        <is>
          <t>No identificado (Bal Harbour)</t>
        </is>
      </c>
      <c r="I32" s="3" t="inlineStr">
        <is>
          <t>'Consulta gratis por WhatsApp'; portafolio Coronado, Multimax</t>
        </is>
      </c>
      <c r="J32" s="3" t="inlineStr">
        <is>
          <t>Proyectos en Panamá, Coronado y Miami</t>
        </is>
      </c>
      <c r="K32" s="3" t="inlineStr">
        <is>
          <t>Venden remodelaciones llave en mano a dueños de Airbnb que escriben de noche y fin de semana, justo cuando nadie contesta.</t>
        </is>
      </c>
      <c r="L32" s="6" t="inlineStr">
        <is>
          <t>Pendiente</t>
        </is>
      </c>
      <c r="M32" s="7" t="n"/>
      <c r="N32" s="6" t="n"/>
      <c r="O32" s="6" t="n"/>
      <c r="P32" s="6" t="n"/>
    </row>
    <row r="33" ht="84" customHeight="1">
      <c r="A33" s="3" t="n">
        <v>32</v>
      </c>
      <c r="B33" s="3" t="inlineStr">
        <is>
          <t>Mejoras del hogar (alto ticket)</t>
        </is>
      </c>
      <c r="C33" s="6" t="inlineStr">
        <is>
          <t>2 · Fácil</t>
        </is>
      </c>
      <c r="D33" s="3" t="inlineStr">
        <is>
          <t>DiraSmart (domótica KNX)</t>
        </is>
      </c>
      <c r="E33" s="5" t="inlineStr">
        <is>
          <t>dirasmart.com</t>
        </is>
      </c>
      <c r="F33" s="3" t="inlineStr">
        <is>
          <t>@dirasmart</t>
        </is>
      </c>
      <c r="G33" s="19" t="inlineStr">
        <is>
          <t>+507 6595-6439</t>
        </is>
      </c>
      <c r="H33" s="3" t="inlineStr">
        <is>
          <t>No identificado</t>
        </is>
      </c>
      <c r="I33" s="3" t="inlineStr">
        <is>
          <t>Página de ofertas y de reseñas; KNX Partner</t>
        </is>
      </c>
      <c r="J33" s="3" t="inlineStr">
        <is>
          <t>Proyectos residenciales y hoteles</t>
        </is>
      </c>
      <c r="K33" s="3" t="inlineStr">
        <is>
          <t>Prometen 'soporte directo por WhatsApp con quien instaló': con dos o tres técnicos eso no escala; un asistente que filtre soporte de venta nueva les devuelve horas.</t>
        </is>
      </c>
      <c r="L33" s="6" t="inlineStr">
        <is>
          <t>Pendiente</t>
        </is>
      </c>
      <c r="M33" s="7" t="n"/>
      <c r="N33" s="6" t="n"/>
      <c r="O33" s="6" t="n"/>
      <c r="P33" s="6" t="n"/>
    </row>
    <row r="34" ht="84" customHeight="1">
      <c r="A34" s="3" t="n">
        <v>33</v>
      </c>
      <c r="B34" s="3" t="inlineStr">
        <is>
          <t>Instaladores solares</t>
        </is>
      </c>
      <c r="C34" s="6" t="inlineStr">
        <is>
          <t>2 · Fácil</t>
        </is>
      </c>
      <c r="D34" s="3" t="inlineStr">
        <is>
          <t>Bahía Solar Energy</t>
        </is>
      </c>
      <c r="E34" s="5" t="inlineStr">
        <is>
          <t>bahiasolarenergy.com</t>
        </is>
      </c>
      <c r="F34" s="3" t="inlineStr">
        <is>
          <t>@bahiasolarenergy</t>
        </is>
      </c>
      <c r="G34" s="19" t="inlineStr">
        <is>
          <t>+507 6796-0238; ventas@bahiasolarenergy.com</t>
        </is>
      </c>
      <c r="H34" s="3" t="inlineStr">
        <is>
          <t>No identificado</t>
        </is>
      </c>
      <c r="I34" s="3" t="inlineStr">
        <is>
          <t>Página SEO 'Precio de paneles solares en Panamá 2026'; Cámara Solar; testimonios</t>
        </is>
      </c>
      <c r="J34" s="3" t="inlineStr">
        <is>
          <t>Equipo con hasta 15 años</t>
        </is>
      </c>
      <c r="K34" s="3" t="inlineStr">
        <is>
          <t>Captan tráfico con la página de precios 2026 pero el visitante termina en un WhatsApp humano; el que pide precio a las 9 pm espera al día siguiente.</t>
        </is>
      </c>
      <c r="L34" s="6" t="inlineStr">
        <is>
          <t>Pendiente</t>
        </is>
      </c>
      <c r="M34" s="7" t="n"/>
      <c r="N34" s="6" t="n"/>
      <c r="O34" s="6" t="n"/>
      <c r="P34" s="6" t="n"/>
    </row>
    <row r="35" ht="84" customHeight="1">
      <c r="A35" s="3" t="n">
        <v>34</v>
      </c>
      <c r="B35" s="3" t="inlineStr">
        <is>
          <t>Instaladores solares</t>
        </is>
      </c>
      <c r="C35" s="6" t="inlineStr">
        <is>
          <t>2 · Fácil</t>
        </is>
      </c>
      <c r="D35" s="3" t="inlineStr">
        <is>
          <t>Paneles Solares en Panamá</t>
        </is>
      </c>
      <c r="E35" s="5" t="inlineStr">
        <is>
          <t>panelessolaresenpanama.com</t>
        </is>
      </c>
      <c r="F35" s="3" t="inlineStr">
        <is>
          <t>n/d</t>
        </is>
      </c>
      <c r="G35" s="19" t="inlineStr">
        <is>
          <t>+507 6944-1778</t>
        </is>
      </c>
      <c r="H35" s="3" t="inlineStr">
        <is>
          <t>No identificado</t>
        </is>
      </c>
      <c r="I35" s="3" t="inlineStr">
        <is>
          <t>Dominio exact-match para SEO/Ads; promesa 'respondemos en pocas horas'</t>
        </is>
      </c>
      <c r="J35" s="3" t="inlineStr">
        <is>
          <t>n/d</t>
        </is>
      </c>
      <c r="K35" s="3" t="inlineStr">
        <is>
          <t>Prometen responder 'en pocas horas': con un asistente la respuesta es en segundos y el lead no se enfría.</t>
        </is>
      </c>
      <c r="L35" s="6" t="inlineStr">
        <is>
          <t>Pendiente</t>
        </is>
      </c>
      <c r="M35" s="7" t="n"/>
      <c r="N35" s="6" t="n"/>
      <c r="O35" s="6" t="n"/>
      <c r="P35" s="6" t="n"/>
    </row>
    <row r="36" ht="84" customHeight="1">
      <c r="A36" s="3" t="n">
        <v>35</v>
      </c>
      <c r="B36" s="3" t="inlineStr">
        <is>
          <t>Instaladores solares</t>
        </is>
      </c>
      <c r="C36" s="6" t="inlineStr">
        <is>
          <t>2 · Fácil</t>
        </is>
      </c>
      <c r="D36" s="3" t="inlineStr">
        <is>
          <t>Solar Panel Panama (expats)</t>
        </is>
      </c>
      <c r="E36" s="5" t="inlineStr">
        <is>
          <t>solarpanelpanama.com</t>
        </is>
      </c>
      <c r="F36" s="3" t="inlineStr">
        <is>
          <t>n/d</t>
        </is>
      </c>
      <c r="G36" s="19" t="inlineStr">
        <is>
          <t>6565-4145; info@solarpanelpanama.com</t>
        </is>
      </c>
      <c r="H36" s="3" t="inlineStr">
        <is>
          <t>No identificado</t>
        </is>
      </c>
      <c r="I36" s="3" t="inlineStr">
        <is>
          <t>Web bilingüe orientada a búsqueda en inglés</t>
        </is>
      </c>
      <c r="J36" s="3" t="inlineStr">
        <is>
          <t>Horario L-V 8-17</t>
        </is>
      </c>
      <c r="K36" s="3" t="inlineStr">
        <is>
          <t>Atienden expats pero solo de lunes a viernes de 8 a 5: el extranjero que escribe en inglés un domingo no recibe respuesta.</t>
        </is>
      </c>
      <c r="L36" s="6" t="inlineStr">
        <is>
          <t>Pendiente</t>
        </is>
      </c>
      <c r="M36" s="7" t="n"/>
      <c r="N36" s="6" t="n"/>
      <c r="O36" s="6" t="n"/>
      <c r="P36" s="6" t="n"/>
    </row>
    <row r="37" ht="84" customHeight="1">
      <c r="A37" s="3" t="n">
        <v>36</v>
      </c>
      <c r="B37" s="3" t="inlineStr">
        <is>
          <t>Instaladores solares</t>
        </is>
      </c>
      <c r="C37" s="6" t="inlineStr">
        <is>
          <t>2 · Fácil</t>
        </is>
      </c>
      <c r="D37" s="3" t="inlineStr">
        <is>
          <t>Panama Solar Solutions (Carrasquilla)</t>
        </is>
      </c>
      <c r="E37" s="5" t="inlineStr">
        <is>
          <t>panamasolarsolutions.com</t>
        </is>
      </c>
      <c r="F37" s="3" t="inlineStr">
        <is>
          <t>FB e IG</t>
        </is>
      </c>
      <c r="G37" s="19" t="inlineStr">
        <is>
          <t>6230-3333</t>
        </is>
      </c>
      <c r="H37" s="3" t="inlineStr">
        <is>
          <t>No identificado</t>
        </is>
      </c>
      <c r="I37" s="3" t="inlineStr">
        <is>
          <t>Asesoría de cálculo de costos y ROI</t>
        </is>
      </c>
      <c r="J37" s="3" t="inlineStr">
        <is>
          <t>n/d</t>
        </is>
      </c>
      <c r="K37" s="3" t="inlineStr">
        <is>
          <t>Web sencilla sin cotizador: el cliente tiene que llamar o escribir y esperar a que un técnico le calcule el sistema.</t>
        </is>
      </c>
      <c r="L37" s="6" t="inlineStr">
        <is>
          <t>Pendiente</t>
        </is>
      </c>
      <c r="M37" s="7" t="n"/>
      <c r="N37" s="6" t="n"/>
      <c r="O37" s="6" t="n"/>
      <c r="P37" s="6" t="n"/>
    </row>
    <row r="38" ht="84" customHeight="1">
      <c r="A38" s="3" t="n">
        <v>37</v>
      </c>
      <c r="B38" s="3" t="inlineStr">
        <is>
          <t>Instaladores solares</t>
        </is>
      </c>
      <c r="C38" s="6" t="inlineStr">
        <is>
          <t>2 · Fácil</t>
        </is>
      </c>
      <c r="D38" s="3" t="inlineStr">
        <is>
          <t>SiempreSol Panamá (Boquete, expats)</t>
        </is>
      </c>
      <c r="E38" s="5" t="inlineStr">
        <is>
          <t>siempresolpanama.com</t>
        </is>
      </c>
      <c r="F38" s="3" t="inlineStr">
        <is>
          <t>FB siempresolpanama (1 reseña)</t>
        </is>
      </c>
      <c r="G38" s="19" t="inlineStr">
        <is>
          <t>+507 6631-9193; alain@siempresolpanama.com</t>
        </is>
      </c>
      <c r="H38" s="3" t="inlineStr">
        <is>
          <t>Alain (fundador aparente)</t>
        </is>
      </c>
      <c r="I38" s="3" t="inlineStr">
        <is>
          <t>Listado en igopanama.com; web en inglés</t>
        </is>
      </c>
      <c r="J38" s="3" t="inlineStr">
        <is>
          <t>Desde 2018; hasta 150+ paneles</t>
        </is>
      </c>
      <c r="K38" s="3" t="inlineStr">
        <is>
          <t>Mercado expat en Boquete con una reseña en Facebook y respuesta manual en inglés: pierden referidos y no piden reseñas después de instalar.</t>
        </is>
      </c>
      <c r="L38" s="6" t="inlineStr">
        <is>
          <t>Pendiente</t>
        </is>
      </c>
      <c r="M38" s="7" t="n"/>
      <c r="N38" s="6" t="n"/>
      <c r="O38" s="6" t="n"/>
      <c r="P38" s="6" t="n"/>
    </row>
    <row r="39" ht="84" customHeight="1">
      <c r="A39" s="3" t="n">
        <v>38</v>
      </c>
      <c r="B39" s="3" t="inlineStr">
        <is>
          <t>Instaladores solares</t>
        </is>
      </c>
      <c r="C39" s="6" t="inlineStr">
        <is>
          <t>2 · Fácil</t>
        </is>
      </c>
      <c r="D39" s="3" t="inlineStr">
        <is>
          <t>Electrysol S.A. (David, Chiriquí)</t>
        </is>
      </c>
      <c r="E39" s="5" t="inlineStr">
        <is>
          <t>electrysol.com</t>
        </is>
      </c>
      <c r="F39" s="3" t="inlineStr">
        <is>
          <t>@electrysolpanama</t>
        </is>
      </c>
      <c r="G39" s="19" t="inlineStr">
        <is>
          <t>774-1080 / 6258-7635 (WhatsApp)</t>
        </is>
      </c>
      <c r="H39" s="3" t="inlineStr">
        <is>
          <t>Víctor Saldaña (rol por confirmar)</t>
        </is>
      </c>
      <c r="I39" s="3" t="inlineStr">
        <is>
          <t>Infoguía, WhatsApp e IG; 'primera empresa solar del país'</t>
        </is>
      </c>
      <c r="J39" s="3" t="inlineStr">
        <is>
          <t>Desde 1992; garantías 26+ años</t>
        </is>
      </c>
      <c r="K39" s="3" t="inlineStr">
        <is>
          <t>33 años instalando y una web vieja: la reputación no se ve en Google ni en Instagram, y el WhatsApp sigue siendo un celular de oficina.</t>
        </is>
      </c>
      <c r="L39" s="6" t="inlineStr">
        <is>
          <t>Pendiente</t>
        </is>
      </c>
      <c r="M39" s="7" t="n"/>
      <c r="N39" s="6" t="n"/>
      <c r="O39" s="6" t="n"/>
      <c r="P39" s="6" t="n"/>
    </row>
    <row r="40" ht="84" customHeight="1">
      <c r="A40" s="3" t="n">
        <v>39</v>
      </c>
      <c r="B40" s="3" t="inlineStr">
        <is>
          <t>Bodas y eventos</t>
        </is>
      </c>
      <c r="C40" s="6" t="inlineStr">
        <is>
          <t>2 · Fácil</t>
        </is>
      </c>
      <c r="D40" s="3" t="inlineStr">
        <is>
          <t>Paola Mantilla Events (wedding planner)</t>
        </is>
      </c>
      <c r="E40" s="5" t="inlineStr">
        <is>
          <t>paolamantilla.com (Squarespace)</t>
        </is>
      </c>
      <c r="F40" s="3" t="inlineStr">
        <is>
          <t>n/d</t>
        </is>
      </c>
      <c r="G40" s="19" t="inlineStr">
        <is>
          <t>6675-4685; info@paolamantilla.com (Punta Paitilla, L-V 9-7)</t>
        </is>
      </c>
      <c r="H40" s="3" t="inlineStr">
        <is>
          <t>Paola Mantilla</t>
        </is>
      </c>
      <c r="I40" s="3" t="inlineStr">
        <is>
          <t>Wezoree con 3 premios, Top 5 Panamá</t>
        </is>
      </c>
      <c r="J40" s="3" t="inlineStr">
        <is>
          <t>Desde 2007</t>
        </is>
      </c>
      <c r="K40" s="3" t="inlineStr">
        <is>
          <t>Oficina de lunes a viernes de 9 a 7: las parejas escriben sábado y domingo. Un asistente que responda y agende el lunes a primera hora cierra ese hueco.</t>
        </is>
      </c>
      <c r="L40" s="6" t="inlineStr">
        <is>
          <t>Pendiente</t>
        </is>
      </c>
      <c r="M40" s="7" t="n"/>
      <c r="N40" s="6" t="n"/>
      <c r="O40" s="6" t="n"/>
      <c r="P40" s="6" t="n"/>
    </row>
    <row r="41" ht="84" customHeight="1">
      <c r="A41" s="3" t="n">
        <v>40</v>
      </c>
      <c r="B41" s="3" t="inlineStr">
        <is>
          <t>Bodas y eventos</t>
        </is>
      </c>
      <c r="C41" s="6" t="inlineStr">
        <is>
          <t>2 · Fácil</t>
        </is>
      </c>
      <c r="D41" s="3" t="inlineStr">
        <is>
          <t>MCH The Bride Atelier (planner, decor, floristería)</t>
        </is>
      </c>
      <c r="E41" s="5" t="inlineStr">
        <is>
          <t>mchthebrideatelier.com</t>
        </is>
      </c>
      <c r="F41" s="3" t="inlineStr">
        <is>
          <t>vía web</t>
        </is>
      </c>
      <c r="G41" s="19" t="inlineStr">
        <is>
          <t>6998-5134; info@mchthebrideatelier.com (Condado del Rey)</t>
        </is>
      </c>
      <c r="H41" s="3" t="inlineStr">
        <is>
          <t>No identificado (certificada ABC)</t>
        </is>
      </c>
      <c r="I41" s="3" t="inlineStr">
        <is>
          <t>Ya ofrece 'reserva en línea o por WhatsApp'; en Asoflor</t>
        </is>
      </c>
      <c r="J41" s="3" t="inlineStr">
        <is>
          <t>20+ años</t>
        </is>
      </c>
      <c r="K41" s="3" t="inlineStr">
        <is>
          <t>Ya invita a reservar por WhatsApp; falta que ese WhatsApp califique y agende solo, en vez de ser otro chat pendiente.</t>
        </is>
      </c>
      <c r="L41" s="6" t="inlineStr">
        <is>
          <t>Pendiente</t>
        </is>
      </c>
      <c r="M41" s="7" t="n"/>
      <c r="N41" s="6" t="n"/>
      <c r="O41" s="6" t="n"/>
      <c r="P41" s="6" t="n"/>
    </row>
    <row r="42" ht="84" customHeight="1">
      <c r="A42" s="3" t="n">
        <v>41</v>
      </c>
      <c r="B42" s="3" t="inlineStr">
        <is>
          <t>Bodas y eventos</t>
        </is>
      </c>
      <c r="C42" s="6" t="inlineStr">
        <is>
          <t>2 · Fácil</t>
        </is>
      </c>
      <c r="D42" s="3" t="inlineStr">
        <is>
          <t>Bacioni Eventos (wedding planners)</t>
        </is>
      </c>
      <c r="E42" s="5" t="inlineStr">
        <is>
          <t>bacionieventos.com</t>
        </is>
      </c>
      <c r="F42" s="3" t="inlineStr">
        <is>
          <t>FB + IG</t>
        </is>
      </c>
      <c r="G42" s="19" t="inlineStr">
        <is>
          <t>6065-8644; info@bacionieventos.com</t>
        </is>
      </c>
      <c r="H42" s="3" t="inlineStr">
        <is>
          <t>Alyssa Madrid</t>
        </is>
      </c>
      <c r="I42" s="3" t="inlineStr">
        <is>
          <t>Listada en ineventos.com</t>
        </is>
      </c>
      <c r="J42" s="3" t="inlineStr">
        <is>
          <t>Certificada 2017 (~8 años)</t>
        </is>
      </c>
      <c r="K42" s="3" t="inlineStr">
        <is>
          <t>Equipo pequeño que vive del DM: cada cotización se escribe a mano y la mitad de las consultas nunca recibe seguimiento.</t>
        </is>
      </c>
      <c r="L42" s="6" t="inlineStr">
        <is>
          <t>Pendiente</t>
        </is>
      </c>
      <c r="M42" s="7" t="n"/>
      <c r="N42" s="6" t="n"/>
      <c r="O42" s="6" t="n"/>
      <c r="P42" s="6" t="n"/>
    </row>
    <row r="43" ht="84" customHeight="1">
      <c r="A43" s="3" t="n">
        <v>42</v>
      </c>
      <c r="B43" s="3" t="inlineStr">
        <is>
          <t>Bodas y eventos</t>
        </is>
      </c>
      <c r="C43" s="6" t="inlineStr">
        <is>
          <t>2 · Fácil</t>
        </is>
      </c>
      <c r="D43" s="3" t="inlineStr">
        <is>
          <t>Casa Greca (venue frente al mar, Playa Blanca)</t>
        </is>
      </c>
      <c r="E43" s="5" t="inlineStr">
        <is>
          <t>casagrecapa.com</t>
        </is>
      </c>
      <c r="F43" s="3" t="inlineStr">
        <is>
          <t>@casagrecapa</t>
        </is>
      </c>
      <c r="G43" s="19" t="inlineStr">
        <is>
          <t>6221-2892; casagrecapa@gmail.com</t>
        </is>
      </c>
      <c r="H43" s="3" t="inlineStr">
        <is>
          <t>Familia propietaria</t>
        </is>
      </c>
      <c r="I43" s="3" t="inlineStr">
        <is>
          <t>Booking, TripAdvisor, Airbnb (comisiones); Instagram activo</t>
        </is>
      </c>
      <c r="J43" s="3" t="inlineStr">
        <is>
          <t>Reseñas en TripAdvisor/Booking</t>
        </is>
      </c>
      <c r="K43" s="3" t="inlineStr">
        <is>
          <t>Paga comisión a Booking y Airbnb por noches, pero las bodas (el ticket de 10 a 30 mil) llegan por DM y se pierden entre consultas de day pass.</t>
        </is>
      </c>
      <c r="L43" s="6" t="inlineStr">
        <is>
          <t>Pendiente</t>
        </is>
      </c>
      <c r="M43" s="7" t="n"/>
      <c r="N43" s="6" t="n"/>
      <c r="O43" s="6" t="n"/>
      <c r="P43" s="6" t="n"/>
    </row>
    <row r="44" ht="84" customHeight="1">
      <c r="A44" s="3" t="n">
        <v>43</v>
      </c>
      <c r="B44" s="3" t="inlineStr">
        <is>
          <t>Bodas y eventos</t>
        </is>
      </c>
      <c r="C44" s="6" t="inlineStr">
        <is>
          <t>2 · Fácil</t>
        </is>
      </c>
      <c r="D44" s="3" t="inlineStr">
        <is>
          <t>Hacienda Los Molinos (venue en Boquete, hasta 250 pax)</t>
        </is>
      </c>
      <c r="E44" s="5" t="inlineStr">
        <is>
          <t>losmolinoshotel.com</t>
        </is>
      </c>
      <c r="F44" s="3" t="inlineStr">
        <is>
          <t>@haciendalosmolinosboquete (6K)</t>
        </is>
      </c>
      <c r="G44" s="19" t="inlineStr">
        <is>
          <t>6676-0653; 730-8313; reservas@losmolinoshotel.com</t>
        </is>
      </c>
      <c r="H44" s="3" t="inlineStr">
        <is>
          <t>Hotel boutique independiente</t>
        </is>
      </c>
      <c r="I44" s="3" t="inlineStr">
        <is>
          <t>Ficha en ineventos.pa; páginas SEO 'lugares para bodas en Boquete'</t>
        </is>
      </c>
      <c r="J44" s="3" t="inlineStr">
        <is>
          <t>6 habitaciones + 10 villas; menús de boda publicados</t>
        </is>
      </c>
      <c r="K44" s="3" t="inlineStr">
        <is>
          <t>Bodas destino desde la ciudad y el extranjero escriben en husos horarios distintos; el que responde de madrugada se queda con el tour por la finca.</t>
        </is>
      </c>
      <c r="L44" s="6" t="inlineStr">
        <is>
          <t>Pendiente</t>
        </is>
      </c>
      <c r="M44" s="7" t="n"/>
      <c r="N44" s="6" t="n"/>
      <c r="O44" s="6" t="n"/>
      <c r="P44" s="6" t="n"/>
    </row>
    <row r="45" ht="84" customHeight="1">
      <c r="A45" s="3" t="n">
        <v>44</v>
      </c>
      <c r="B45" s="3" t="inlineStr">
        <is>
          <t>Bodas y eventos</t>
        </is>
      </c>
      <c r="C45" s="6" t="inlineStr">
        <is>
          <t>2 · Fácil</t>
        </is>
      </c>
      <c r="D45" s="3" t="inlineStr">
        <is>
          <t>Le Fleur by Michelle Vallarino (floral + decoración de bodas)</t>
        </is>
      </c>
      <c r="E45" s="5" t="inlineStr">
        <is>
          <t>lefleurbymichellevallarino.com (con tienda)</t>
        </is>
      </c>
      <c r="F45" s="3" t="inlineStr">
        <is>
          <t>vía web</t>
        </is>
      </c>
      <c r="G45" s="19" t="inlineStr">
        <is>
          <t>6618-0279; michvallar@lefleurbymichellevallarino.com</t>
        </is>
      </c>
      <c r="H45" s="3" t="inlineStr">
        <is>
          <t>Michelle Vallarino</t>
        </is>
      </c>
      <c r="I45" s="3" t="inlineStr">
        <is>
          <t>Tienda online; reseñas en opinamos.io</t>
        </is>
      </c>
      <c r="J45" s="3" t="inlineStr">
        <is>
          <t>n/d</t>
        </is>
      </c>
      <c r="K45" s="3" t="inlineStr">
        <is>
          <t>Una floristería con e-commerce que además decora bodas: los pedidos chicos y las bodas de 15 mil entran por el mismo chat sin prioridad.</t>
        </is>
      </c>
      <c r="L45" s="6" t="inlineStr">
        <is>
          <t>Pendiente</t>
        </is>
      </c>
      <c r="M45" s="7" t="n"/>
      <c r="N45" s="6" t="n"/>
      <c r="O45" s="6" t="n"/>
      <c r="P45" s="6" t="n"/>
    </row>
    <row r="46" ht="84" customHeight="1">
      <c r="A46" s="3" t="n">
        <v>45</v>
      </c>
      <c r="B46" s="3" t="inlineStr">
        <is>
          <t>Bodas y eventos</t>
        </is>
      </c>
      <c r="C46" s="6" t="inlineStr">
        <is>
          <t>2 · Fácil</t>
        </is>
      </c>
      <c r="D46" s="3" t="inlineStr">
        <is>
          <t>Casa Casco (rooftop y salones, Plaza Herrera)</t>
        </is>
      </c>
      <c r="E46" s="5" t="inlineStr">
        <is>
          <t>casacasco.com</t>
        </is>
      </c>
      <c r="F46" s="3" t="inlineStr">
        <is>
          <t>vía web</t>
        </is>
      </c>
      <c r="G46" s="19" t="inlineStr">
        <is>
          <t>WhatsApp 6288-9024; reservas 6136-8700; eventos@guamholding.com</t>
        </is>
      </c>
      <c r="H46" s="3" t="inlineStr">
        <is>
          <t>Guam Holding (grupo local)</t>
        </is>
      </c>
      <c r="I46" s="3" t="inlineStr">
        <is>
          <t>WhatsApp dedicado a eventos</t>
        </is>
      </c>
      <c r="J46" s="3" t="inlineStr">
        <is>
          <t>Venue icónico del Casco</t>
        </is>
      </c>
      <c r="K46" s="3" t="inlineStr">
        <is>
          <t>Un rooftop del Casco recibe la misma pregunta 50 veces al mes: capacidad, mínimo de consumo, fecha. Eso lo responde un asistente y deja al equipo solo las visitas.</t>
        </is>
      </c>
      <c r="L46" s="6" t="inlineStr">
        <is>
          <t>Pendiente</t>
        </is>
      </c>
      <c r="M46" s="7" t="n"/>
      <c r="N46" s="6" t="n"/>
      <c r="O46" s="6" t="n"/>
      <c r="P46" s="6" t="n"/>
    </row>
    <row r="47" ht="84" customHeight="1">
      <c r="A47" s="3" t="n">
        <v>46</v>
      </c>
      <c r="B47" s="3" t="inlineStr">
        <is>
          <t>Agentes y alquiler corto</t>
        </is>
      </c>
      <c r="C47" s="6" t="inlineStr">
        <is>
          <t>2 · Fácil</t>
        </is>
      </c>
      <c r="D47" s="3" t="inlineStr">
        <is>
          <t>Estela's Realty Services · agente dueña de firma</t>
        </is>
      </c>
      <c r="E47" s="5" t="inlineStr">
        <is>
          <t>estelasrealty.com</t>
        </is>
      </c>
      <c r="F47" s="3" t="inlineStr">
        <is>
          <t>@estelasrealtyservices</t>
        </is>
      </c>
      <c r="G47" s="19" t="inlineStr">
        <is>
          <t>+507 6612-9836 (PTY) / 6675-1521 (Boquete)</t>
        </is>
      </c>
      <c r="H47" s="3" t="inlineStr">
        <is>
          <t>Estela (fundadora, desde 1981)</t>
        </is>
      </c>
      <c r="I47" s="3" t="inlineStr">
        <is>
          <t>11 páginas de listados en encuentra24 (pauta premium)</t>
        </is>
      </c>
      <c r="J47" s="3" t="inlineStr">
        <is>
          <t>38+ años; también administración y trámites</t>
        </is>
      </c>
      <c r="K47" s="3" t="inlineStr">
        <is>
          <t>Con 11 páginas de anuncios en encuentra24, el cuello de botella no es el tráfico: es quién contesta y da seguimiento a cada consulta repetida.</t>
        </is>
      </c>
      <c r="L47" s="6" t="inlineStr">
        <is>
          <t>Pendiente</t>
        </is>
      </c>
      <c r="M47" s="7" t="n"/>
      <c r="N47" s="6" t="n"/>
      <c r="O47" s="6" t="n"/>
      <c r="P47" s="6" t="n"/>
    </row>
    <row r="48" ht="84" customHeight="1">
      <c r="A48" s="3" t="n">
        <v>47</v>
      </c>
      <c r="B48" s="3" t="inlineStr">
        <is>
          <t>Agentes y alquiler corto</t>
        </is>
      </c>
      <c r="C48" s="6" t="inlineStr">
        <is>
          <t>2 · Fácil</t>
        </is>
      </c>
      <c r="D48" s="3" t="inlineStr">
        <is>
          <t>Panama Property Guru · bróker individual (expats)</t>
        </is>
      </c>
      <c r="E48" s="5" t="inlineStr">
        <is>
          <t>panamapropertyguru.com</t>
        </is>
      </c>
      <c r="F48" s="3" t="inlineStr">
        <is>
          <t>@panamapropertyguru (2.4K)</t>
        </is>
      </c>
      <c r="G48" s="19" t="inlineStr">
        <is>
          <t>+507 6151-8248 (WA)</t>
        </is>
      </c>
      <c r="H48" s="3" t="inlineStr">
        <is>
          <t>No nombrado</t>
        </is>
      </c>
      <c r="I48" s="3" t="inlineStr">
        <is>
          <t>WordPress con membresía de pago; YouTube</t>
        </is>
      </c>
      <c r="J48" s="3" t="inlineStr">
        <is>
          <t>Enfoque relocation</t>
        </is>
      </c>
      <c r="K48" s="3" t="inlineStr">
        <is>
          <t>Sus leads son expats en otro huso horario: la mitad escribe cuando usted duerme y el competidor que responde primero se lleva la visita.</t>
        </is>
      </c>
      <c r="L48" s="6" t="inlineStr">
        <is>
          <t>Pendiente</t>
        </is>
      </c>
      <c r="M48" s="7" t="n"/>
      <c r="N48" s="6" t="n"/>
      <c r="O48" s="6" t="n"/>
      <c r="P48" s="6" t="n"/>
    </row>
    <row r="49" ht="84" customHeight="1">
      <c r="A49" s="3" t="n">
        <v>48</v>
      </c>
      <c r="B49" s="3" t="inlineStr">
        <is>
          <t>Agentes y alquiler corto</t>
        </is>
      </c>
      <c r="C49" s="6" t="inlineStr">
        <is>
          <t>2 · Fácil</t>
        </is>
      </c>
      <c r="D49" s="3" t="inlineStr">
        <is>
          <t>Nuba Rentals (Playa Venao) · administradora</t>
        </is>
      </c>
      <c r="E49" s="5" t="inlineStr">
        <is>
          <t>nuba.rentals</t>
        </is>
      </c>
      <c r="F49" s="3" t="inlineStr">
        <is>
          <t>@nubarentals</t>
        </is>
      </c>
      <c r="G49" s="19" t="inlineStr">
        <is>
          <t>+507 6200-2788; reservations@nuba.rentals</t>
        </is>
      </c>
      <c r="H49" s="3" t="inlineStr">
        <is>
          <t>No identificado</t>
        </is>
      </c>
      <c r="I49" s="3" t="inlineStr">
        <is>
          <t>Airbnb, Booking, Expedia, VRBO + directas</t>
        </is>
      </c>
      <c r="J49" s="3" t="inlineStr">
        <is>
          <t>Villas premium US$500+/noche</t>
        </is>
      </c>
      <c r="K49" s="3" t="inlineStr">
        <is>
          <t>Sus villas de 500 dólares la noche reciben preguntas de grupos que comparan tres destinos a la vez: el que confirma disponibilidad en dos minutos gana la reserva.</t>
        </is>
      </c>
      <c r="L49" s="6" t="inlineStr">
        <is>
          <t>Pendiente</t>
        </is>
      </c>
      <c r="M49" s="7" t="n"/>
      <c r="N49" s="6" t="n"/>
      <c r="O49" s="6" t="n"/>
      <c r="P49" s="6" t="n"/>
    </row>
    <row r="50" ht="84" customHeight="1">
      <c r="A50" s="3" t="n">
        <v>49</v>
      </c>
      <c r="B50" s="3" t="inlineStr">
        <is>
          <t>Agentes y alquiler corto</t>
        </is>
      </c>
      <c r="C50" s="6" t="inlineStr">
        <is>
          <t>2 · Fácil</t>
        </is>
      </c>
      <c r="D50" s="3" t="inlineStr">
        <is>
          <t>Over The Water Rentals (Bocas) · administradores</t>
        </is>
      </c>
      <c r="E50" s="5" t="inlineStr">
        <is>
          <t>overthewaterrentals.com</t>
        </is>
      </c>
      <c r="F50" s="3" t="inlineStr">
        <is>
          <t>n/d</t>
        </is>
      </c>
      <c r="G50" s="19" t="inlineStr">
        <is>
          <t>+507 6401-9021 (WA); 757-9516</t>
        </is>
      </c>
      <c r="H50" s="3" t="inlineStr">
        <is>
          <t>Claudia y Marlin</t>
        </is>
      </c>
      <c r="I50" s="3" t="inlineStr">
        <is>
          <t>Airbnb desde 2010, TripAdvisor</t>
        </is>
      </c>
      <c r="J50" s="3" t="inlineStr">
        <is>
          <t>Superhost 6 años; 6 casas sobre el agua</t>
        </is>
      </c>
      <c r="K50" s="3" t="inlineStr">
        <is>
          <t>Seis años de Superhost y las reservas siguen dependiendo de que Claudia o Marlin vean el teléfono.</t>
        </is>
      </c>
      <c r="L50" s="6" t="inlineStr">
        <is>
          <t>Pendiente</t>
        </is>
      </c>
      <c r="M50" s="7" t="n"/>
      <c r="N50" s="6" t="n"/>
      <c r="O50" s="6" t="n"/>
      <c r="P50" s="6" t="n"/>
    </row>
    <row r="51" ht="84" customHeight="1">
      <c r="A51" s="3" t="n">
        <v>50</v>
      </c>
      <c r="B51" s="3" t="inlineStr">
        <is>
          <t>Agentes y alquiler corto</t>
        </is>
      </c>
      <c r="C51" s="6" t="inlineStr">
        <is>
          <t>2 · Fácil</t>
        </is>
      </c>
      <c r="D51" s="3" t="inlineStr">
        <is>
          <t>Boquete Vacation Rentals (JJM Inversiones) · administradora</t>
        </is>
      </c>
      <c r="E51" s="5" t="inlineStr">
        <is>
          <t>boquetevacations.com (Squarespace)</t>
        </is>
      </c>
      <c r="F51" s="3" t="inlineStr">
        <is>
          <t>n/d</t>
        </is>
      </c>
      <c r="G51" s="19" t="inlineStr">
        <is>
          <t>+507 6660-0034; boquetevacations@gmail.com</t>
        </is>
      </c>
      <c r="H51" s="3" t="inlineStr">
        <is>
          <t>No identificado</t>
        </is>
      </c>
      <c r="I51" s="3" t="inlineStr">
        <is>
          <t>Web bilingüe; 'full service property management'</t>
        </is>
      </c>
      <c r="J51" s="3" t="inlineStr">
        <is>
          <t>~8 unidades; 20 años</t>
        </is>
      </c>
      <c r="K51" s="3" t="inlineStr">
        <is>
          <t>Boquete solo tiene 47 permisos de alquiler vacacional; usted tiene la oferta escasa, pero las consultas en inglés y español llegan al mismo celular sin filtro.</t>
        </is>
      </c>
      <c r="L51" s="6" t="inlineStr">
        <is>
          <t>Pendiente</t>
        </is>
      </c>
      <c r="M51" s="7" t="n"/>
      <c r="N51" s="6" t="n"/>
      <c r="O51" s="6" t="n"/>
      <c r="P51" s="6" t="n"/>
    </row>
    <row r="52" ht="84" customHeight="1">
      <c r="A52" s="3" t="n">
        <v>51</v>
      </c>
      <c r="B52" s="3" t="inlineStr">
        <is>
          <t>Agentes y alquiler corto</t>
        </is>
      </c>
      <c r="C52" s="6" t="inlineStr">
        <is>
          <t>2 · Fácil</t>
        </is>
      </c>
      <c r="D52" s="3" t="inlineStr">
        <is>
          <t>Panama Beach View (Tammy, Coronado Bay) · administradora</t>
        </is>
      </c>
      <c r="E52" s="5" t="inlineStr">
        <is>
          <t>panamabeachview.com</t>
        </is>
      </c>
      <c r="F52" s="3" t="inlineStr">
        <is>
          <t>n/d</t>
        </is>
      </c>
      <c r="G52" s="19" t="inlineStr">
        <is>
          <t>+507 6529-2688 (WA)</t>
        </is>
      </c>
      <c r="H52" s="3" t="inlineStr">
        <is>
          <t>Tammy</t>
        </is>
      </c>
      <c r="I52" s="3" t="inlineStr">
        <is>
          <t>Airbnb (Superhost)</t>
        </is>
      </c>
      <c r="J52" s="3" t="inlineStr">
        <is>
          <t>~3 condos + casa</t>
        </is>
      </c>
      <c r="K52" s="3" t="inlineStr">
        <is>
          <t>Sus tarifas semanales y mensuales dependen de que Tammy conteste cada WhatsApp; un asistente cotiza, confirma fechas y manda el link de pago.</t>
        </is>
      </c>
      <c r="L52" s="6" t="inlineStr">
        <is>
          <t>Pendiente</t>
        </is>
      </c>
      <c r="M52" s="7" t="n"/>
      <c r="N52" s="6" t="n"/>
      <c r="O52" s="6" t="n"/>
      <c r="P52" s="6" t="n"/>
    </row>
    <row r="53" ht="84" customHeight="1">
      <c r="A53" s="3" t="n">
        <v>52</v>
      </c>
      <c r="B53" s="3" t="inlineStr">
        <is>
          <t>Autos seminuevos premium</t>
        </is>
      </c>
      <c r="C53" s="20" t="inlineStr">
        <is>
          <t>3 · Después</t>
        </is>
      </c>
      <c r="D53" s="3" t="inlineStr">
        <is>
          <t>@autodolarpty (solo Instagram)</t>
        </is>
      </c>
      <c r="E53" s="3" t="inlineStr">
        <is>
          <t>sin web</t>
        </is>
      </c>
      <c r="F53" s="3" t="inlineStr">
        <is>
          <t>@autodolarpty (49K)</t>
        </is>
      </c>
      <c r="G53" s="19" t="inlineStr">
        <is>
          <t>Número en el botón de la bio (no visible en búsqueda)</t>
        </is>
      </c>
      <c r="H53" s="3" t="inlineStr">
        <is>
          <t>No identificado</t>
        </is>
      </c>
      <c r="I53" s="3" t="inlineStr">
        <is>
          <t>Bio: compra, venta, trade-in, avalúos gratis, 'escríbenos al WhatsApp'</t>
        </is>
      </c>
      <c r="J53" s="3" t="inlineStr">
        <is>
          <t>49K seguidores, 1,941 posts</t>
        </is>
      </c>
      <c r="K53" s="3" t="inlineStr">
        <is>
          <t>Todo su negocio vive en un botón de WhatsApp de Instagram; sin web, sin seguimiento, sin memoria de quién preguntó por qué carro.</t>
        </is>
      </c>
      <c r="L53" s="6" t="inlineStr">
        <is>
          <t>Pendiente</t>
        </is>
      </c>
      <c r="M53" s="7" t="n"/>
      <c r="N53" s="6" t="n"/>
      <c r="O53" s="6" t="n"/>
      <c r="P53" s="6" t="n"/>
    </row>
    <row r="54" ht="84" customHeight="1">
      <c r="A54" s="3" t="n">
        <v>53</v>
      </c>
      <c r="B54" s="3" t="inlineStr">
        <is>
          <t>Mejoras del hogar (alto ticket)</t>
        </is>
      </c>
      <c r="C54" s="20" t="inlineStr">
        <is>
          <t>3 · Después</t>
        </is>
      </c>
      <c r="D54" s="3" t="inlineStr">
        <is>
          <t>Piscinas Neptuno (fibra de vidrio, fábrica en Chame)</t>
        </is>
      </c>
      <c r="E54" s="3" t="inlineStr">
        <is>
          <t>sin web propia clara</t>
        </is>
      </c>
      <c r="F54" s="3" t="inlineStr">
        <is>
          <t>@piscinas_neptuno (190)</t>
        </is>
      </c>
      <c r="G54" s="19" t="inlineStr">
        <is>
          <t>+507 6337-5365</t>
        </is>
      </c>
      <c r="H54" s="3" t="inlineStr">
        <is>
          <t>No identificado</t>
        </is>
      </c>
      <c r="I54" s="3" t="inlineStr">
        <is>
          <t>Visitas a fábrica con cita; directorios</t>
        </is>
      </c>
      <c r="J54" s="3" t="inlineStr">
        <is>
          <t>Garantía 5 años; entrega 2-6 semanas</t>
        </is>
      </c>
      <c r="K54" s="3" t="inlineStr">
        <is>
          <t>Fabrican piscinas de 15 mil con garantía de 5 años y solo tienen 190 seguidores: el producto vende, pero nadie lo ve ni lo agenda sin llamar.</t>
        </is>
      </c>
      <c r="L54" s="6" t="inlineStr">
        <is>
          <t>Pendiente</t>
        </is>
      </c>
      <c r="M54" s="7" t="n"/>
      <c r="N54" s="6" t="n"/>
      <c r="O54" s="6" t="n"/>
      <c r="P54" s="6" t="n"/>
    </row>
    <row r="55" ht="84" customHeight="1">
      <c r="A55" s="3" t="n">
        <v>54</v>
      </c>
      <c r="B55" s="3" t="inlineStr">
        <is>
          <t>Mejoras del hogar (alto ticket)</t>
        </is>
      </c>
      <c r="C55" s="20" t="inlineStr">
        <is>
          <t>3 · Después</t>
        </is>
      </c>
      <c r="D55" s="3" t="inlineStr">
        <is>
          <t>24clima (aire acondicionado premium)</t>
        </is>
      </c>
      <c r="E55" s="5" t="inlineStr">
        <is>
          <t>24clima.com</t>
        </is>
      </c>
      <c r="F55" s="3" t="inlineStr">
        <is>
          <t>n/d</t>
        </is>
      </c>
      <c r="G55" s="19" t="inlineStr">
        <is>
          <t>+507 6828-2120</t>
        </is>
      </c>
      <c r="H55" s="3" t="inlineStr">
        <is>
          <t>Dueño HVAC master formado en Alemania</t>
        </is>
      </c>
      <c r="I55" s="3" t="inlineStr">
        <is>
          <t>Ya venden 'respuesta en menos de 2 h'; español, inglés y ruso</t>
        </is>
      </c>
      <c r="J55" s="3" t="inlineStr">
        <is>
          <t>Google 5.0 (11 reseñas); 9+ años</t>
        </is>
      </c>
      <c r="K55" s="3" t="inlineStr">
        <is>
          <t>Prometen respuesta en menos de dos horas con un equipo humano: un asistente 24/7 convierte esa promesa en segundos sin contratar a nadie.</t>
        </is>
      </c>
      <c r="L55" s="6" t="inlineStr">
        <is>
          <t>Pendiente</t>
        </is>
      </c>
      <c r="M55" s="7" t="n"/>
      <c r="N55" s="6" t="n"/>
      <c r="O55" s="6" t="n"/>
      <c r="P55" s="6" t="n"/>
    </row>
    <row r="56" ht="84" customHeight="1">
      <c r="A56" s="3" t="n">
        <v>55</v>
      </c>
      <c r="B56" s="3" t="inlineStr">
        <is>
          <t>Instaladores solares</t>
        </is>
      </c>
      <c r="C56" s="20" t="inlineStr">
        <is>
          <t>3 · Después</t>
        </is>
      </c>
      <c r="D56" s="3" t="inlineStr">
        <is>
          <t>Solaris Energy (Azuero, expats)</t>
        </is>
      </c>
      <c r="E56" s="5" t="inlineStr">
        <is>
          <t>solaris-panama.com</t>
        </is>
      </c>
      <c r="F56" s="3" t="inlineStr">
        <is>
          <t>n/d</t>
        </is>
      </c>
      <c r="G56" s="19" t="inlineStr">
        <is>
          <t>+507 6583-1822</t>
        </is>
      </c>
      <c r="H56" s="3" t="inlineStr">
        <is>
          <t>No identificado</t>
        </is>
      </c>
      <c r="I56" s="3" t="inlineStr">
        <is>
          <t>CTA 'envía tu ubicación y factura por WhatsApp'; web en inglés</t>
        </is>
      </c>
      <c r="J56" s="3" t="inlineStr">
        <is>
          <t>Expats Pedasí/Azuero</t>
        </is>
      </c>
      <c r="K56" s="3" t="inlineStr">
        <is>
          <t>Todo entra por WhatsApp en inglés y lo contesta una persona: la IA bilingüe califica y agenda sin que el dueño deje la instalación.</t>
        </is>
      </c>
      <c r="L56" s="6" t="inlineStr">
        <is>
          <t>Pendiente</t>
        </is>
      </c>
      <c r="M56" s="7" t="n"/>
      <c r="N56" s="6" t="n"/>
      <c r="O56" s="6" t="n"/>
      <c r="P56" s="6" t="n"/>
    </row>
    <row r="57" ht="84" customHeight="1">
      <c r="A57" s="3" t="n">
        <v>56</v>
      </c>
      <c r="B57" s="3" t="inlineStr">
        <is>
          <t>Instaladores solares</t>
        </is>
      </c>
      <c r="C57" s="20" t="inlineStr">
        <is>
          <t>3 · Después</t>
        </is>
      </c>
      <c r="D57" s="3" t="inlineStr">
        <is>
          <t>Energy and Solar Solutions (familia Neblett)</t>
        </is>
      </c>
      <c r="E57" s="5" t="inlineStr">
        <is>
          <t>energyandsolarsolutions.com</t>
        </is>
      </c>
      <c r="F57" s="3" t="inlineStr">
        <is>
          <t>n/d</t>
        </is>
      </c>
      <c r="G57" s="19" t="inlineStr">
        <is>
          <t>Tel +507 374-1725 (fijo, sin WhatsApp visible)</t>
        </is>
      </c>
      <c r="H57" s="3" t="inlineStr">
        <is>
          <t>David Neblett (CEO) y Daniel Neblett (director)</t>
        </is>
      </c>
      <c r="I57" s="3" t="inlineStr">
        <is>
          <t>Perfil ENF, web propia</t>
        </is>
      </c>
      <c r="J57" s="3" t="inlineStr">
        <is>
          <t>15+ años; baterías</t>
        </is>
      </c>
      <c r="K57" s="3" t="inlineStr">
        <is>
          <t>Solo publican un fijo: el lead de Instagram no puede escribirles por WhatsApp y se va con el competidor.</t>
        </is>
      </c>
      <c r="L57" s="6" t="inlineStr">
        <is>
          <t>Pendiente</t>
        </is>
      </c>
      <c r="M57" s="7" t="n"/>
      <c r="N57" s="6" t="n"/>
      <c r="O57" s="6" t="n"/>
      <c r="P57" s="6" t="n"/>
    </row>
    <row r="58" ht="84" customHeight="1">
      <c r="A58" s="3" t="n">
        <v>57</v>
      </c>
      <c r="B58" s="3" t="inlineStr">
        <is>
          <t>Bodas y eventos</t>
        </is>
      </c>
      <c r="C58" s="20" t="inlineStr">
        <is>
          <t>3 · Después</t>
        </is>
      </c>
      <c r="D58" s="3" t="inlineStr">
        <is>
          <t>Maito Catering (Grupo Maito, chef Mario Castrellón)</t>
        </is>
      </c>
      <c r="E58" s="5" t="inlineStr">
        <is>
          <t>maitopanama.com/maito-catering</t>
        </is>
      </c>
      <c r="F58" s="3" t="inlineStr">
        <is>
          <t>vía web</t>
        </is>
      </c>
      <c r="G58" s="19" t="inlineStr">
        <is>
          <t>WhatsApp 6550-0377; 391-4657; info@maitopanama.com</t>
        </is>
      </c>
      <c r="H58" s="3" t="inlineStr">
        <is>
          <t>Mario Castrellón</t>
        </is>
      </c>
      <c r="I58" s="3" t="inlineStr">
        <is>
          <t>Prensa internacional (50 Best)</t>
        </is>
      </c>
      <c r="J58" s="3" t="inlineStr">
        <is>
          <t>Maito en Latin America's 50 Best</t>
        </is>
      </c>
      <c r="K58" s="3" t="inlineStr">
        <is>
          <t>La marca más fuerte del país en gastronomía recibe pedidos de boda por el mismo WhatsApp que las reservas del restaurante; una degustación se puede agendar sola.</t>
        </is>
      </c>
      <c r="L58" s="6" t="inlineStr">
        <is>
          <t>Pendiente</t>
        </is>
      </c>
      <c r="M58" s="7" t="n"/>
      <c r="N58" s="6" t="n"/>
      <c r="O58" s="6" t="n"/>
      <c r="P58" s="6" t="n"/>
    </row>
    <row r="59" ht="84" customHeight="1">
      <c r="A59" s="3" t="n">
        <v>58</v>
      </c>
      <c r="B59" s="3" t="inlineStr">
        <is>
          <t>Bodas y eventos</t>
        </is>
      </c>
      <c r="C59" s="20" t="inlineStr">
        <is>
          <t>3 · Después</t>
        </is>
      </c>
      <c r="D59" s="3" t="inlineStr">
        <is>
          <t>Lala Event Designers (planner de lujo)</t>
        </is>
      </c>
      <c r="E59" s="5" t="inlineStr">
        <is>
          <t>lalapanama.com</t>
        </is>
      </c>
      <c r="F59" s="3" t="inlineStr">
        <is>
          <t>@lalaeventdesigners (23K)</t>
        </is>
      </c>
      <c r="G59" s="19" t="inlineStr">
        <is>
          <t>6179-1753; hola@lalapanama.com</t>
        </is>
      </c>
      <c r="H59" s="3" t="inlineStr">
        <is>
          <t>Jess (y Sebas)</t>
        </is>
      </c>
      <c r="I59" s="3" t="inlineStr">
        <is>
          <t>'VOGUE certified', Latin American Wedding Awards, bodas destino</t>
        </is>
      </c>
      <c r="J59" s="3" t="inlineStr">
        <is>
          <t>8+ años</t>
        </is>
      </c>
      <c r="K59" s="3" t="inlineStr">
        <is>
          <t>Con 23K seguidores, el DM se llena de '¿precio?'; nadie filtra fecha, invitados y presupuesto antes de que Jess conteste a mano. Entrar después de tener dos casos locales.</t>
        </is>
      </c>
      <c r="L59" s="6" t="inlineStr">
        <is>
          <t>Pendiente</t>
        </is>
      </c>
      <c r="M59" s="7" t="n"/>
      <c r="N59" s="6" t="n"/>
      <c r="O59" s="6" t="n"/>
      <c r="P59" s="6" t="n"/>
    </row>
    <row r="60" ht="84" customHeight="1">
      <c r="A60" s="3" t="n">
        <v>59</v>
      </c>
      <c r="B60" s="3" t="inlineStr">
        <is>
          <t>Bodas y eventos</t>
        </is>
      </c>
      <c r="C60" s="20" t="inlineStr">
        <is>
          <t>3 · Después</t>
        </is>
      </c>
      <c r="D60" s="3" t="inlineStr">
        <is>
          <t>Regina Events (bodas de lujo + catering)</t>
        </is>
      </c>
      <c r="E60" s="5" t="inlineStr">
        <is>
          <t>reginaevent.com</t>
        </is>
      </c>
      <c r="F60" s="3" t="inlineStr">
        <is>
          <t>@reginaevents (16K)</t>
        </is>
      </c>
      <c r="G60" s="19" t="inlineStr">
        <is>
          <t>6925-2787; info@reginaevent.com</t>
        </is>
      </c>
      <c r="H60" s="3" t="inlineStr">
        <is>
          <t>Regina Ortiz (también dirige Prowep Academy)</t>
        </is>
      </c>
      <c r="I60" s="3" t="inlineStr">
        <is>
          <t>Directorio pago bodas.com.mx; speaker internacional</t>
        </is>
      </c>
      <c r="J60" s="3" t="inlineStr">
        <is>
          <t>Desde 2009; 200+ bodas</t>
        </is>
      </c>
      <c r="K60" s="3" t="inlineStr">
        <is>
          <t>Regina da clases y conferencias; mientras está en escena, la novia que escribió a las 10 pm ya agendó visita con otro planner. Entrar después de tener dos casos locales.</t>
        </is>
      </c>
      <c r="L60" s="6" t="inlineStr">
        <is>
          <t>Pendiente</t>
        </is>
      </c>
      <c r="M60" s="7" t="n"/>
      <c r="N60" s="6" t="n"/>
      <c r="O60" s="6" t="n"/>
      <c r="P60" s="6" t="n"/>
    </row>
    <row r="61" ht="84" customHeight="1">
      <c r="A61" s="3" t="n">
        <v>60</v>
      </c>
      <c r="B61" s="3" t="inlineStr">
        <is>
          <t>Agentes y alquiler corto</t>
        </is>
      </c>
      <c r="C61" s="20" t="inlineStr">
        <is>
          <t>3 · Después</t>
        </is>
      </c>
      <c r="D61" s="3" t="inlineStr">
        <is>
          <t>Realtor Panamá (@panamarealtor) · agente</t>
        </is>
      </c>
      <c r="E61" s="3" t="inlineStr">
        <is>
          <t>sin web</t>
        </is>
      </c>
      <c r="F61" s="3" t="inlineStr">
        <is>
          <t>@panamarealtor (2.3K)</t>
        </is>
      </c>
      <c r="G61" s="19" t="inlineStr">
        <is>
          <t>+507 6149-1542</t>
        </is>
      </c>
      <c r="H61" s="3" t="inlineStr">
        <is>
          <t>No identificado</t>
        </is>
      </c>
      <c r="I61" s="3" t="inlineStr">
        <is>
          <t>IG como canal principal</t>
        </is>
      </c>
      <c r="J61" s="3" t="inlineStr">
        <is>
          <t>n/d</t>
        </is>
      </c>
      <c r="K61" s="3" t="inlineStr">
        <is>
          <t>Todo su embudo vive en la bio de Instagram; una web de marca personal más un asistente convierte el DM en cita.</t>
        </is>
      </c>
      <c r="L61" s="6" t="inlineStr">
        <is>
          <t>Pendiente</t>
        </is>
      </c>
      <c r="M61" s="7" t="n"/>
      <c r="N61" s="6" t="n"/>
      <c r="O61" s="6" t="n"/>
      <c r="P61" s="6" t="n"/>
    </row>
  </sheetData>
  <autoFilter ref="A1:P61"/>
  <dataValidations count="2">
    <dataValidation sqref="L2:L61" showDropDown="0" showInputMessage="0" showErrorMessage="0" allowBlank="1" type="list">
      <formula1>"Pendiente,Investigado,Mockup hecho,Contactado,Respondió,Reunión,Cliente,Descartado"</formula1>
    </dataValidation>
    <dataValidation sqref="N2:N61" showDropDown="0" showInputMessage="0" showErrorMessage="0" allowBlank="1" type="list">
      <formula1>"Email,WhatsApp,LinkedIn,Instagram,Llamada,Presencial"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5" r:id="rId49"/>
    <hyperlink xmlns:r="http://schemas.openxmlformats.org/officeDocument/2006/relationships" ref="E56" r:id="rId50"/>
    <hyperlink xmlns:r="http://schemas.openxmlformats.org/officeDocument/2006/relationships" ref="E57" r:id="rId51"/>
    <hyperlink xmlns:r="http://schemas.openxmlformats.org/officeDocument/2006/relationships" ref="E58" r:id="rId52"/>
    <hyperlink xmlns:r="http://schemas.openxmlformats.org/officeDocument/2006/relationships" ref="E59" r:id="rId53"/>
    <hyperlink xmlns:r="http://schemas.openxmlformats.org/officeDocument/2006/relationships" ref="E60" r:id="rId5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0" t="inlineStr">
        <is>
          <t>Resumen de prospectos</t>
        </is>
      </c>
    </row>
    <row r="3">
      <c r="A3" s="11" t="inlineStr">
        <is>
          <t>Nicho</t>
        </is>
      </c>
      <c r="B3" s="11" t="inlineStr">
        <is>
          <t>A</t>
        </is>
      </c>
      <c r="C3" s="11" t="inlineStr">
        <is>
          <t>B</t>
        </is>
      </c>
      <c r="D3" s="11" t="inlineStr">
        <is>
          <t>C</t>
        </is>
      </c>
      <c r="E3" s="11" t="inlineStr">
        <is>
          <t>Total</t>
        </is>
      </c>
      <c r="F3" s="11" t="inlineStr">
        <is>
          <t>Contactados</t>
        </is>
      </c>
      <c r="G3" s="11" t="inlineStr">
        <is>
          <t>Respondieron</t>
        </is>
      </c>
    </row>
    <row r="4">
      <c r="A4" s="12" t="inlineStr">
        <is>
          <t>Bufetes de abogados</t>
        </is>
      </c>
      <c r="B4" s="12">
        <f>COUNTIFS(Prospectos!$B:$B,$A4,Prospectos!$C:$C,"A")</f>
        <v/>
      </c>
      <c r="C4" s="12">
        <f>COUNTIFS(Prospectos!$B:$B,$A4,Prospectos!$C:$C,"B")</f>
        <v/>
      </c>
      <c r="D4" s="12">
        <f>COUNTIFS(Prospectos!$B:$B,$A4,Prospectos!$C:$C,"C")</f>
        <v/>
      </c>
      <c r="E4" s="12">
        <f>SUM(B4:D4)</f>
        <v/>
      </c>
      <c r="F4" s="12">
        <f>COUNTIFS(Prospectos!$B:$B,$A4,Prospectos!$L:$L,"Contactado")+COUNTIFS(Prospectos!$B:$B,$A4,Prospectos!$L:$L,"Respondió")+COUNTIFS(Prospectos!$B:$B,$A4,Prospectos!$L:$L,"Reunión")+COUNTIFS(Prospectos!$B:$B,$A4,Prospectos!$L:$L,"Cliente")</f>
        <v/>
      </c>
      <c r="G4" s="12">
        <f>COUNTIFS(Prospectos!$B:$B,$A4,Prospectos!$L:$L,"Respondió")+COUNTIFS(Prospectos!$B:$B,$A4,Prospectos!$L:$L,"Reunión")+COUNTIFS(Prospectos!$B:$B,$A4,Prospectos!$L:$L,"Cliente")</f>
        <v/>
      </c>
    </row>
    <row r="5">
      <c r="A5" s="12" t="inlineStr">
        <is>
          <t>Bienes raíces de lujo</t>
        </is>
      </c>
      <c r="B5" s="12">
        <f>COUNTIFS(Prospectos!$B:$B,$A5,Prospectos!$C:$C,"A")</f>
        <v/>
      </c>
      <c r="C5" s="12">
        <f>COUNTIFS(Prospectos!$B:$B,$A5,Prospectos!$C:$C,"B")</f>
        <v/>
      </c>
      <c r="D5" s="12">
        <f>COUNTIFS(Prospectos!$B:$B,$A5,Prospectos!$C:$C,"C")</f>
        <v/>
      </c>
      <c r="E5" s="12">
        <f>SUM(B5:D5)</f>
        <v/>
      </c>
      <c r="F5" s="12">
        <f>COUNTIFS(Prospectos!$B:$B,$A5,Prospectos!$L:$L,"Contactado")+COUNTIFS(Prospectos!$B:$B,$A5,Prospectos!$L:$L,"Respondió")+COUNTIFS(Prospectos!$B:$B,$A5,Prospectos!$L:$L,"Reunión")+COUNTIFS(Prospectos!$B:$B,$A5,Prospectos!$L:$L,"Cliente")</f>
        <v/>
      </c>
      <c r="G5" s="12">
        <f>COUNTIFS(Prospectos!$B:$B,$A5,Prospectos!$L:$L,"Respondió")+COUNTIFS(Prospectos!$B:$B,$A5,Prospectos!$L:$L,"Reunión")+COUNTIFS(Prospectos!$B:$B,$A5,Prospectos!$L:$L,"Cliente")</f>
        <v/>
      </c>
    </row>
    <row r="6">
      <c r="A6" s="12" t="inlineStr">
        <is>
          <t>Clínicas privadas</t>
        </is>
      </c>
      <c r="B6" s="12">
        <f>COUNTIFS(Prospectos!$B:$B,$A6,Prospectos!$C:$C,"A")</f>
        <v/>
      </c>
      <c r="C6" s="12">
        <f>COUNTIFS(Prospectos!$B:$B,$A6,Prospectos!$C:$C,"B")</f>
        <v/>
      </c>
      <c r="D6" s="12">
        <f>COUNTIFS(Prospectos!$B:$B,$A6,Prospectos!$C:$C,"C")</f>
        <v/>
      </c>
      <c r="E6" s="12">
        <f>SUM(B6:D6)</f>
        <v/>
      </c>
      <c r="F6" s="12">
        <f>COUNTIFS(Prospectos!$B:$B,$A6,Prospectos!$L:$L,"Contactado")+COUNTIFS(Prospectos!$B:$B,$A6,Prospectos!$L:$L,"Respondió")+COUNTIFS(Prospectos!$B:$B,$A6,Prospectos!$L:$L,"Reunión")+COUNTIFS(Prospectos!$B:$B,$A6,Prospectos!$L:$L,"Cliente")</f>
        <v/>
      </c>
      <c r="G6" s="12">
        <f>COUNTIFS(Prospectos!$B:$B,$A6,Prospectos!$L:$L,"Respondió")+COUNTIFS(Prospectos!$B:$B,$A6,Prospectos!$L:$L,"Reunión")+COUNTIFS(Prospectos!$B:$B,$A6,Prospectos!$L:$L,"Cliente")</f>
        <v/>
      </c>
    </row>
    <row r="7">
      <c r="A7" s="12" t="inlineStr">
        <is>
          <t>Arquitectura e interiorismo</t>
        </is>
      </c>
      <c r="B7" s="12">
        <f>COUNTIFS(Prospectos!$B:$B,$A7,Prospectos!$C:$C,"A")</f>
        <v/>
      </c>
      <c r="C7" s="12">
        <f>COUNTIFS(Prospectos!$B:$B,$A7,Prospectos!$C:$C,"B")</f>
        <v/>
      </c>
      <c r="D7" s="12">
        <f>COUNTIFS(Prospectos!$B:$B,$A7,Prospectos!$C:$C,"C")</f>
        <v/>
      </c>
      <c r="E7" s="12">
        <f>SUM(B7:D7)</f>
        <v/>
      </c>
      <c r="F7" s="12">
        <f>COUNTIFS(Prospectos!$B:$B,$A7,Prospectos!$L:$L,"Contactado")+COUNTIFS(Prospectos!$B:$B,$A7,Prospectos!$L:$L,"Respondió")+COUNTIFS(Prospectos!$B:$B,$A7,Prospectos!$L:$L,"Reunión")+COUNTIFS(Prospectos!$B:$B,$A7,Prospectos!$L:$L,"Cliente")</f>
        <v/>
      </c>
      <c r="G7" s="12">
        <f>COUNTIFS(Prospectos!$B:$B,$A7,Prospectos!$L:$L,"Respondió")+COUNTIFS(Prospectos!$B:$B,$A7,Prospectos!$L:$L,"Reunión")+COUNTIFS(Prospectos!$B:$B,$A7,Prospectos!$L:$L,"Cliente")</f>
        <v/>
      </c>
    </row>
    <row r="8">
      <c r="A8" s="12" t="inlineStr">
        <is>
          <t>Gestión patrimonial y fiduciarias</t>
        </is>
      </c>
      <c r="B8" s="12">
        <f>COUNTIFS(Prospectos!$B:$B,$A8,Prospectos!$C:$C,"A")</f>
        <v/>
      </c>
      <c r="C8" s="12">
        <f>COUNTIFS(Prospectos!$B:$B,$A8,Prospectos!$C:$C,"B")</f>
        <v/>
      </c>
      <c r="D8" s="12">
        <f>COUNTIFS(Prospectos!$B:$B,$A8,Prospectos!$C:$C,"C")</f>
        <v/>
      </c>
      <c r="E8" s="12">
        <f>SUM(B8:D8)</f>
        <v/>
      </c>
      <c r="F8" s="12">
        <f>COUNTIFS(Prospectos!$B:$B,$A8,Prospectos!$L:$L,"Contactado")+COUNTIFS(Prospectos!$B:$B,$A8,Prospectos!$L:$L,"Respondió")+COUNTIFS(Prospectos!$B:$B,$A8,Prospectos!$L:$L,"Reunión")+COUNTIFS(Prospectos!$B:$B,$A8,Prospectos!$L:$L,"Cliente")</f>
        <v/>
      </c>
      <c r="G8" s="12">
        <f>COUNTIFS(Prospectos!$B:$B,$A8,Prospectos!$L:$L,"Respondió")+COUNTIFS(Prospectos!$B:$B,$A8,Prospectos!$L:$L,"Reunión")+COUNTIFS(Prospectos!$B:$B,$A8,Prospectos!$L:$L,"Cliente")</f>
        <v/>
      </c>
    </row>
    <row r="9">
      <c r="A9" s="12" t="inlineStr">
        <is>
          <t>Turismo de alta gama</t>
        </is>
      </c>
      <c r="B9" s="12">
        <f>COUNTIFS(Prospectos!$B:$B,$A9,Prospectos!$C:$C,"A")</f>
        <v/>
      </c>
      <c r="C9" s="12">
        <f>COUNTIFS(Prospectos!$B:$B,$A9,Prospectos!$C:$C,"B")</f>
        <v/>
      </c>
      <c r="D9" s="12">
        <f>COUNTIFS(Prospectos!$B:$B,$A9,Prospectos!$C:$C,"C")</f>
        <v/>
      </c>
      <c r="E9" s="12">
        <f>SUM(B9:D9)</f>
        <v/>
      </c>
      <c r="F9" s="12">
        <f>COUNTIFS(Prospectos!$B:$B,$A9,Prospectos!$L:$L,"Contactado")+COUNTIFS(Prospectos!$B:$B,$A9,Prospectos!$L:$L,"Respondió")+COUNTIFS(Prospectos!$B:$B,$A9,Prospectos!$L:$L,"Reunión")+COUNTIFS(Prospectos!$B:$B,$A9,Prospectos!$L:$L,"Cliente")</f>
        <v/>
      </c>
      <c r="G9" s="12">
        <f>COUNTIFS(Prospectos!$B:$B,$A9,Prospectos!$L:$L,"Respondió")+COUNTIFS(Prospectos!$B:$B,$A9,Prospectos!$L:$L,"Reunión")+COUNTIFS(Prospectos!$B:$B,$A9,Prospectos!$L:$L,"Cliente")</f>
        <v/>
      </c>
    </row>
    <row r="10">
      <c r="A10" s="13" t="inlineStr">
        <is>
          <t>Total</t>
        </is>
      </c>
      <c r="B10" s="13">
        <f>SUM(B4:B9)</f>
        <v/>
      </c>
      <c r="C10" s="13">
        <f>SUM(C4:C9)</f>
        <v/>
      </c>
      <c r="D10" s="13">
        <f>SUM(D4:D9)</f>
        <v/>
      </c>
      <c r="E10" s="13">
        <f>SUM(E4:E9)</f>
        <v/>
      </c>
      <c r="F10" s="13">
        <f>SUM(F4:F9)</f>
        <v/>
      </c>
      <c r="G10" s="13">
        <f>SUM(G4:G9)</f>
        <v/>
      </c>
    </row>
    <row r="12">
      <c r="A12" s="13" t="inlineStr">
        <is>
          <t>Tasa de respuesta</t>
        </is>
      </c>
      <c r="B12" s="14">
        <f>IF(F10=0,0,G10/F10)</f>
        <v/>
      </c>
    </row>
    <row r="15">
      <c r="A15" s="21" t="inlineStr">
        <is>
          <t>Prospectos fáciles (hoja Fáciles)</t>
        </is>
      </c>
    </row>
    <row r="16">
      <c r="A16" s="11" t="inlineStr">
        <is>
          <t>Nicho</t>
        </is>
      </c>
      <c r="B16" s="11" t="inlineStr">
        <is>
          <t>1 Muy fácil</t>
        </is>
      </c>
      <c r="C16" s="11" t="inlineStr">
        <is>
          <t>2 Fácil</t>
        </is>
      </c>
      <c r="D16" s="11" t="inlineStr">
        <is>
          <t>3 Después</t>
        </is>
      </c>
      <c r="E16" s="11" t="inlineStr">
        <is>
          <t>Total</t>
        </is>
      </c>
      <c r="F16" s="11" t="inlineStr">
        <is>
          <t>Contactados</t>
        </is>
      </c>
      <c r="G16" s="11" t="inlineStr">
        <is>
          <t>Respondieron</t>
        </is>
      </c>
    </row>
    <row r="17">
      <c r="A17" s="12" t="inlineStr">
        <is>
          <t>Autos seminuevos premium</t>
        </is>
      </c>
      <c r="B17" s="12">
        <f>COUNTIFS(Fáciles!$B:$B,$A17,Fáciles!$C:$C,"1 · Muy fácil")</f>
        <v/>
      </c>
      <c r="C17" s="12">
        <f>COUNTIFS(Fáciles!$B:$B,$A17,Fáciles!$C:$C,"2 · Fácil")</f>
        <v/>
      </c>
      <c r="D17" s="12">
        <f>COUNTIFS(Fáciles!$B:$B,$A17,Fáciles!$C:$C,"3 · Después")</f>
        <v/>
      </c>
      <c r="E17" s="12">
        <f>SUM(B17:D17)</f>
        <v/>
      </c>
      <c r="F17" s="12">
        <f>COUNTIFS(Fáciles!$B:$B,$A17,Fáciles!$L:$L,"Contactado")+COUNTIFS(Fáciles!$B:$B,$A17,Fáciles!$L:$L,"Respondió")+COUNTIFS(Fáciles!$B:$B,$A17,Fáciles!$L:$L,"Reunión")+COUNTIFS(Fáciles!$B:$B,$A17,Fáciles!$L:$L,"Cliente")</f>
        <v/>
      </c>
      <c r="G17" s="12">
        <f>COUNTIFS(Fáciles!$B:$B,$A17,Fáciles!$L:$L,"Respondió")+COUNTIFS(Fáciles!$B:$B,$A17,Fáciles!$L:$L,"Reunión")+COUNTIFS(Fáciles!$B:$B,$A17,Fáciles!$L:$L,"Cliente")</f>
        <v/>
      </c>
    </row>
    <row r="18">
      <c r="A18" s="12" t="inlineStr">
        <is>
          <t>Mejoras del hogar (alto ticket)</t>
        </is>
      </c>
      <c r="B18" s="12">
        <f>COUNTIFS(Fáciles!$B:$B,$A18,Fáciles!$C:$C,"1 · Muy fácil")</f>
        <v/>
      </c>
      <c r="C18" s="12">
        <f>COUNTIFS(Fáciles!$B:$B,$A18,Fáciles!$C:$C,"2 · Fácil")</f>
        <v/>
      </c>
      <c r="D18" s="12">
        <f>COUNTIFS(Fáciles!$B:$B,$A18,Fáciles!$C:$C,"3 · Después")</f>
        <v/>
      </c>
      <c r="E18" s="12">
        <f>SUM(B18:D18)</f>
        <v/>
      </c>
      <c r="F18" s="12">
        <f>COUNTIFS(Fáciles!$B:$B,$A18,Fáciles!$L:$L,"Contactado")+COUNTIFS(Fáciles!$B:$B,$A18,Fáciles!$L:$L,"Respondió")+COUNTIFS(Fáciles!$B:$B,$A18,Fáciles!$L:$L,"Reunión")+COUNTIFS(Fáciles!$B:$B,$A18,Fáciles!$L:$L,"Cliente")</f>
        <v/>
      </c>
      <c r="G18" s="12">
        <f>COUNTIFS(Fáciles!$B:$B,$A18,Fáciles!$L:$L,"Respondió")+COUNTIFS(Fáciles!$B:$B,$A18,Fáciles!$L:$L,"Reunión")+COUNTIFS(Fáciles!$B:$B,$A18,Fáciles!$L:$L,"Cliente")</f>
        <v/>
      </c>
    </row>
    <row r="19">
      <c r="A19" s="12" t="inlineStr">
        <is>
          <t>Instaladores solares</t>
        </is>
      </c>
      <c r="B19" s="12">
        <f>COUNTIFS(Fáciles!$B:$B,$A19,Fáciles!$C:$C,"1 · Muy fácil")</f>
        <v/>
      </c>
      <c r="C19" s="12">
        <f>COUNTIFS(Fáciles!$B:$B,$A19,Fáciles!$C:$C,"2 · Fácil")</f>
        <v/>
      </c>
      <c r="D19" s="12">
        <f>COUNTIFS(Fáciles!$B:$B,$A19,Fáciles!$C:$C,"3 · Después")</f>
        <v/>
      </c>
      <c r="E19" s="12">
        <f>SUM(B19:D19)</f>
        <v/>
      </c>
      <c r="F19" s="12">
        <f>COUNTIFS(Fáciles!$B:$B,$A19,Fáciles!$L:$L,"Contactado")+COUNTIFS(Fáciles!$B:$B,$A19,Fáciles!$L:$L,"Respondió")+COUNTIFS(Fáciles!$B:$B,$A19,Fáciles!$L:$L,"Reunión")+COUNTIFS(Fáciles!$B:$B,$A19,Fáciles!$L:$L,"Cliente")</f>
        <v/>
      </c>
      <c r="G19" s="12">
        <f>COUNTIFS(Fáciles!$B:$B,$A19,Fáciles!$L:$L,"Respondió")+COUNTIFS(Fáciles!$B:$B,$A19,Fáciles!$L:$L,"Reunión")+COUNTIFS(Fáciles!$B:$B,$A19,Fáciles!$L:$L,"Cliente")</f>
        <v/>
      </c>
    </row>
    <row r="20">
      <c r="A20" s="12" t="inlineStr">
        <is>
          <t>Bodas y eventos</t>
        </is>
      </c>
      <c r="B20" s="12">
        <f>COUNTIFS(Fáciles!$B:$B,$A20,Fáciles!$C:$C,"1 · Muy fácil")</f>
        <v/>
      </c>
      <c r="C20" s="12">
        <f>COUNTIFS(Fáciles!$B:$B,$A20,Fáciles!$C:$C,"2 · Fácil")</f>
        <v/>
      </c>
      <c r="D20" s="12">
        <f>COUNTIFS(Fáciles!$B:$B,$A20,Fáciles!$C:$C,"3 · Después")</f>
        <v/>
      </c>
      <c r="E20" s="12">
        <f>SUM(B20:D20)</f>
        <v/>
      </c>
      <c r="F20" s="12">
        <f>COUNTIFS(Fáciles!$B:$B,$A20,Fáciles!$L:$L,"Contactado")+COUNTIFS(Fáciles!$B:$B,$A20,Fáciles!$L:$L,"Respondió")+COUNTIFS(Fáciles!$B:$B,$A20,Fáciles!$L:$L,"Reunión")+COUNTIFS(Fáciles!$B:$B,$A20,Fáciles!$L:$L,"Cliente")</f>
        <v/>
      </c>
      <c r="G20" s="12">
        <f>COUNTIFS(Fáciles!$B:$B,$A20,Fáciles!$L:$L,"Respondió")+COUNTIFS(Fáciles!$B:$B,$A20,Fáciles!$L:$L,"Reunión")+COUNTIFS(Fáciles!$B:$B,$A20,Fáciles!$L:$L,"Cliente")</f>
        <v/>
      </c>
    </row>
    <row r="21">
      <c r="A21" s="12" t="inlineStr">
        <is>
          <t>Agentes y alquiler corto</t>
        </is>
      </c>
      <c r="B21" s="12">
        <f>COUNTIFS(Fáciles!$B:$B,$A21,Fáciles!$C:$C,"1 · Muy fácil")</f>
        <v/>
      </c>
      <c r="C21" s="12">
        <f>COUNTIFS(Fáciles!$B:$B,$A21,Fáciles!$C:$C,"2 · Fácil")</f>
        <v/>
      </c>
      <c r="D21" s="12">
        <f>COUNTIFS(Fáciles!$B:$B,$A21,Fáciles!$C:$C,"3 · Después")</f>
        <v/>
      </c>
      <c r="E21" s="12">
        <f>SUM(B21:D21)</f>
        <v/>
      </c>
      <c r="F21" s="12">
        <f>COUNTIFS(Fáciles!$B:$B,$A21,Fáciles!$L:$L,"Contactado")+COUNTIFS(Fáciles!$B:$B,$A21,Fáciles!$L:$L,"Respondió")+COUNTIFS(Fáciles!$B:$B,$A21,Fáciles!$L:$L,"Reunión")+COUNTIFS(Fáciles!$B:$B,$A21,Fáciles!$L:$L,"Cliente")</f>
        <v/>
      </c>
      <c r="G21" s="12">
        <f>COUNTIFS(Fáciles!$B:$B,$A21,Fáciles!$L:$L,"Respondió")+COUNTIFS(Fáciles!$B:$B,$A21,Fáciles!$L:$L,"Reunión")+COUNTIFS(Fáciles!$B:$B,$A21,Fáciles!$L:$L,"Cliente")</f>
        <v/>
      </c>
    </row>
    <row r="22">
      <c r="A22" s="13" t="inlineStr">
        <is>
          <t>Total</t>
        </is>
      </c>
      <c r="B22" s="13">
        <f>SUM(B17:B21)</f>
        <v/>
      </c>
      <c r="C22" s="13">
        <f>SUM(C17:C21)</f>
        <v/>
      </c>
      <c r="D22" s="13">
        <f>SUM(D17:D21)</f>
        <v/>
      </c>
      <c r="E22" s="13">
        <f>SUM(E17:E21)</f>
        <v/>
      </c>
      <c r="F22" s="13">
        <f>SUM(F17:F21)</f>
        <v/>
      </c>
      <c r="G22" s="13">
        <f>SUM(G17:G21)</f>
        <v/>
      </c>
    </row>
    <row r="23">
      <c r="A23" s="13" t="inlineStr">
        <is>
          <t>Tasa de respuesta</t>
        </is>
      </c>
      <c r="B23" s="14">
        <f>IF(F22=0,0,G22/F22)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Cómo usar esta lista</t>
        </is>
      </c>
    </row>
    <row r="2">
      <c r="A2" s="16" t="inlineStr"/>
    </row>
    <row r="3">
      <c r="A3" s="16" t="inlineStr">
        <is>
          <t>1. Prioridad A = negocio fuerte con web débil. Son los candidatos para hacer mockup y escribir con el método del Panama Dive Center.</t>
        </is>
      </c>
    </row>
    <row r="4">
      <c r="A4" s="16" t="inlineStr">
        <is>
          <t>2. Prioridad B = negocio fuerte con web aceptable. No vender rediseño: vender el asistente de IA (WhatsApp 24/7, agenda, recordatorios, reactivación).</t>
        </is>
      </c>
    </row>
    <row r="5">
      <c r="A5" s="16" t="inlineStr">
        <is>
          <t>3. Prioridad C = secundarios. Verificar antes de invertir tiempo.</t>
        </is>
      </c>
    </row>
    <row r="6">
      <c r="A6" s="16" t="inlineStr"/>
    </row>
    <row r="7">
      <c r="A7" s="17" t="inlineStr">
        <is>
          <t>Antes de escribir a cualquiera, abrir su web 30 segundos y confirmar la columna 'Problema de la web':</t>
        </is>
      </c>
    </row>
    <row r="8">
      <c r="A8" s="16" t="inlineStr">
        <is>
          <t xml:space="preserve">   - Año del copyright en el footer</t>
        </is>
      </c>
    </row>
    <row r="9">
      <c r="A9" s="16" t="inlineStr">
        <is>
          <t xml:space="preserve">   - Cómo se ve en el móvil</t>
        </is>
      </c>
    </row>
    <row r="10">
      <c r="A10" s="16" t="inlineStr">
        <is>
          <t xml:space="preserve">   - Candado SSL (https)</t>
        </is>
      </c>
    </row>
    <row r="11">
      <c r="A11" s="16" t="inlineStr">
        <is>
          <t xml:space="preserve">   - Si tiene inglés / español</t>
        </is>
      </c>
    </row>
    <row r="12">
      <c r="A12" s="16" t="inlineStr">
        <is>
          <t xml:space="preserve">   - Si tiene reservas o agenda en línea</t>
        </is>
      </c>
    </row>
    <row r="13">
      <c r="A13" s="16" t="inlineStr">
        <is>
          <t>Esas señales se infirieron de URLs y títulos indexados en Google, porque esta sesión no pudo cargar las webs directamente. Las empresas, decisores y ganchos sí están verificados por búsqueda.</t>
        </is>
      </c>
    </row>
    <row r="14">
      <c r="A14" s="16" t="inlineStr"/>
    </row>
    <row r="15">
      <c r="A15" s="17" t="inlineStr">
        <is>
          <t>Las columnas amarillas (Estado, Fecha contacto, Canal, Respuesta, Notas) son las que se llenan a mano. La hoja Resumen se actualiza sola.</t>
        </is>
      </c>
    </row>
    <row r="16">
      <c r="A16" s="16" t="inlineStr"/>
    </row>
    <row r="17">
      <c r="A17" s="17" t="inlineStr">
        <is>
          <t>Contactos DIRECTOS encontrados (los demás son genéricos o por formulario):</t>
        </is>
      </c>
    </row>
    <row r="18">
      <c r="A18" s="16" t="inlineStr">
        <is>
          <t xml:space="preserve">   - Tanya Coronado, PTY Lawyers: tanyacoronado@ptylawyers.com</t>
        </is>
      </c>
    </row>
    <row r="19">
      <c r="A19" s="16" t="inlineStr">
        <is>
          <t xml:space="preserve">   - Danaise Batista, FIM Trust: dbatista@fimtrust.com.pa</t>
        </is>
      </c>
    </row>
    <row r="20">
      <c r="A20" s="16" t="inlineStr">
        <is>
          <t xml:space="preserve">   - Brian y Dayanara, Coffee Estate Inn: coffeeestateinn@icloud.com</t>
        </is>
      </c>
    </row>
    <row r="21">
      <c r="A21" s="16" t="inlineStr">
        <is>
          <t xml:space="preserve">   - Ken Norton, Panama Properties: WhatsApp +507 6169-2453</t>
        </is>
      </c>
    </row>
    <row r="22">
      <c r="A22" s="16" t="inlineStr">
        <is>
          <t xml:space="preserve">   - Dr. José Espino: WhatsApp +507 6612-8102</t>
        </is>
      </c>
    </row>
    <row r="23">
      <c r="A23" s="16" t="inlineStr">
        <is>
          <t xml:space="preserve">   - Dr. Lenin Almanza: WhatsApp +507 6981-1194</t>
        </is>
      </c>
    </row>
    <row r="24">
      <c r="A24" s="16" t="inlineStr">
        <is>
          <t xml:space="preserve">   - Dr. Edgar Morcillo: +507 6727-2029</t>
        </is>
      </c>
    </row>
    <row r="25">
      <c r="A25" s="16" t="inlineStr">
        <is>
          <t xml:space="preserve">   - Dr. José Samudio: WhatsApp +507 6957-1090</t>
        </is>
      </c>
    </row>
    <row r="26">
      <c r="A26" s="16" t="inlineStr">
        <is>
          <t xml:space="preserve">   - DERMEC: WhatsApp +507 6225-9920</t>
        </is>
      </c>
    </row>
    <row r="27">
      <c r="A27" s="16" t="inlineStr"/>
    </row>
    <row r="28">
      <c r="A28" s="16" t="inlineStr">
        <is>
          <t>Excluidos a propósito: Ana María Joyce Aesthetic Clinic, Panama Dive Center, CAPANA, Terral (ya contactados o clientes); franquicias internacionales; grandes bufetes, bancos y hoteles de cadena.</t>
        </is>
      </c>
    </row>
    <row r="29">
      <c r="A29" s="16" t="inlineStr">
        <is>
          <t>Fuente: investigación web, 2 de octubre de 2026.</t>
        </is>
      </c>
    </row>
    <row r="31">
      <c r="A31" s="17" t="inlineStr">
        <is>
          <t>Hoja 'Fáciles' (añadida el 4 de octubre)</t>
        </is>
      </c>
    </row>
    <row r="32">
      <c r="A32" s="16" t="inlineStr">
        <is>
          <t>Criterio de 'fácil': un solo dueño que decide, reachable por WhatsApp o Instagram, ya paga por leads (Instagram, encuentra24, SEO), ticket de US$2K a 80K por venta, y en su mayoría en Ciudad de Panamá para cerrar en persona.</t>
        </is>
      </c>
    </row>
    <row r="33">
      <c r="A33" s="16" t="inlineStr">
        <is>
          <t>Para estos el producto principal es el asistente de WhatsApp (respuesta 24/7, calificación, agenda, seguimiento). La web es el complemento, no al revés.</t>
        </is>
      </c>
    </row>
    <row r="34">
      <c r="A34" s="16" t="inlineStr">
        <is>
          <t>Facilidad 1 = escribir esta semana. 2 = escribir después de los 1. 3 = esperar a tener dos casos de éxito locales.</t>
        </is>
      </c>
    </row>
    <row r="35">
      <c r="A35" s="16" t="inlineStr">
        <is>
          <t>Los números de WhatsApp vienen de bios, encuentra24 y webs; confirmar en el perfil antes del primer mensaje.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2026-10-02T19:24:44Z</dcterms:created>
  <dcterms:modified xsi:type="dcterms:W3CDTF">2026-10-04T20:10:50Z</dcterms:modified>
</cp:coreProperties>
</file>